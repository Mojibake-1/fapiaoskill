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渠道表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djl</author>
    <author>Administrator</author>
  </authors>
  <commentList>
    <comment ref="B2" authorId="0">
      <text>
        <r>
          <rPr>
            <sz val="9"/>
            <rFont val="宋体"/>
            <charset val="134"/>
          </rPr>
          <t>系统开户编号</t>
        </r>
      </text>
    </comment>
    <comment ref="E2" authorId="1">
      <text>
        <r>
          <rPr>
            <sz val="9"/>
            <rFont val="宋体"/>
            <charset val="134"/>
          </rPr>
          <t xml:space="preserve">填写FBA仓库；无需填写收件信息
</t>
        </r>
      </text>
    </comment>
    <comment ref="F2" authorId="1">
      <text>
        <r>
          <rPr>
            <sz val="9"/>
            <rFont val="宋体"/>
            <charset val="134"/>
          </rPr>
          <t>有仓库编码填编码即可,无需4-10行明细
无仓库编码的 不用填此项，填4-10行明细</t>
        </r>
      </text>
    </comment>
    <comment ref="A3" authorId="1">
      <text>
        <r>
          <rPr>
            <sz val="9"/>
            <rFont val="宋体"/>
            <charset val="134"/>
          </rPr>
          <t xml:space="preserve">自定义参考编码
</t>
        </r>
      </text>
    </comment>
    <comment ref="B3" authorId="0">
      <text>
        <r>
          <rPr>
            <sz val="9"/>
            <rFont val="宋体"/>
            <charset val="134"/>
          </rPr>
          <t>可自主填写</t>
        </r>
      </text>
    </comment>
    <comment ref="F3" authorId="1">
      <text>
        <r>
          <rPr>
            <sz val="9"/>
            <rFont val="宋体"/>
            <charset val="134"/>
          </rPr>
          <t>国家代码US, CA, GB等</t>
        </r>
      </text>
    </comment>
    <comment ref="A8" authorId="0">
      <text>
        <r>
          <rPr>
            <sz val="9"/>
            <rFont val="宋体"/>
            <charset val="134"/>
          </rPr>
          <t xml:space="preserve">亚马逊用来预约登记的8位数的PO号（Amazon Reference ID）
也可填到B18单元格
</t>
        </r>
      </text>
    </comment>
    <comment ref="A9" authorId="0">
      <text>
        <r>
          <rPr>
            <sz val="9"/>
            <rFont val="宋体"/>
            <charset val="134"/>
          </rPr>
          <t xml:space="preserve">生成的提单的发货人，按需要填写
</t>
        </r>
      </text>
    </comment>
    <comment ref="A11" authorId="0">
      <text>
        <r>
          <rPr>
            <sz val="9"/>
            <rFont val="宋体"/>
            <charset val="134"/>
          </rPr>
          <t>英国PVA和VAT渠道
需要填11-13行明细
其他国家不用填</t>
        </r>
      </text>
    </comment>
    <comment ref="A15" authorId="1">
      <text>
        <r>
          <rPr>
            <sz val="9"/>
            <rFont val="宋体"/>
            <charset val="134"/>
          </rPr>
          <t>格式：2022-10-09 12:00</t>
        </r>
      </text>
    </comment>
    <comment ref="B15" authorId="1">
      <text>
        <r>
          <rPr>
            <sz val="9"/>
            <rFont val="宋体"/>
            <charset val="134"/>
          </rPr>
          <t>请填预计到货时间，我们会依此排柜，如不能按时到货，需及时通知取消舱位，货修改到货时间</t>
        </r>
      </text>
    </comment>
    <comment ref="A17" authorId="0">
      <text>
        <r>
          <rPr>
            <b/>
            <sz val="9"/>
            <rFont val="宋体"/>
            <charset val="134"/>
          </rPr>
          <t>FBA号</t>
        </r>
      </text>
    </comment>
    <comment ref="B17" authorId="0">
      <text>
        <r>
          <rPr>
            <sz val="9"/>
            <rFont val="宋体"/>
            <charset val="134"/>
          </rPr>
          <t>亚马逊用来预约登记的8位数的PO号</t>
        </r>
      </text>
    </comment>
    <comment ref="M17" authorId="1">
      <text>
        <r>
          <rPr>
            <sz val="9"/>
            <rFont val="宋体"/>
            <charset val="134"/>
          </rPr>
          <t>此处务必填单箱里的产品个数，不要填总数量</t>
        </r>
      </text>
    </comment>
    <comment ref="T17" authorId="0">
      <text>
        <r>
          <rPr>
            <sz val="9"/>
            <rFont val="宋体"/>
            <charset val="134"/>
          </rPr>
          <t xml:space="preserve">可不填，系统根据尺寸自动计算
</t>
        </r>
      </text>
    </comment>
    <comment ref="V17" authorId="0">
      <text>
        <r>
          <rPr>
            <sz val="9"/>
            <rFont val="宋体"/>
            <charset val="134"/>
          </rPr>
          <t xml:space="preserve">可不填，系统根据单箱毛重自动计算
</t>
        </r>
      </text>
    </comment>
    <comment ref="W17" authorId="0">
      <text>
        <r>
          <rPr>
            <sz val="9"/>
            <rFont val="宋体"/>
            <charset val="134"/>
          </rPr>
          <t>填了表头地址，此处可不填</t>
        </r>
      </text>
    </comment>
    <comment ref="X17" authorId="0">
      <text>
        <r>
          <rPr>
            <sz val="9"/>
            <rFont val="宋体"/>
            <charset val="134"/>
          </rPr>
          <t>图片不超格，需要悬浮式，不能嵌入式</t>
        </r>
      </text>
    </comment>
  </commentList>
</comments>
</file>

<file path=xl/sharedStrings.xml><?xml version="1.0" encoding="utf-8"?>
<sst xmlns="http://schemas.openxmlformats.org/spreadsheetml/2006/main" count="548" uniqueCount="199">
  <si>
    <t xml:space="preserve">深圳市华洋达国际货运代理有限公司
</t>
  </si>
  <si>
    <r>
      <rPr>
        <b/>
        <sz val="12"/>
        <color rgb="FF000000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*</t>
    </r>
  </si>
  <si>
    <t>SZMXKJ</t>
  </si>
  <si>
    <t>FBA仓库编码</t>
  </si>
  <si>
    <t>{fbaFulfillmentCenter}</t>
  </si>
  <si>
    <t>订单号码</t>
  </si>
  <si>
    <r>
      <rPr>
        <b/>
        <sz val="12"/>
        <color rgb="FF000000"/>
        <rFont val="宋体"/>
        <charset val="134"/>
      </rPr>
      <t>收件国家</t>
    </r>
    <r>
      <rPr>
        <sz val="12"/>
        <color rgb="FFFF0000"/>
        <rFont val="等线"/>
        <charset val="134"/>
        <scheme val="minor"/>
      </rPr>
      <t>*</t>
    </r>
  </si>
  <si>
    <t>{recipientCountry}</t>
  </si>
  <si>
    <r>
      <rPr>
        <b/>
        <sz val="12"/>
        <color rgb="FF000000"/>
        <rFont val="宋体"/>
        <charset val="134"/>
      </rPr>
      <t>指定路线</t>
    </r>
    <r>
      <rPr>
        <b/>
        <sz val="12"/>
        <color rgb="FFFF0000"/>
        <rFont val="宋体"/>
        <charset val="134"/>
      </rPr>
      <t>*</t>
    </r>
  </si>
  <si>
    <t>US-NYC03</t>
  </si>
  <si>
    <t>收件人</t>
  </si>
  <si>
    <r>
      <rPr>
        <b/>
        <sz val="12"/>
        <color rgb="FF000000"/>
        <rFont val="宋体"/>
        <charset val="134"/>
      </rPr>
      <t>报关方式</t>
    </r>
    <r>
      <rPr>
        <b/>
        <sz val="12"/>
        <color rgb="FFFF0000"/>
        <rFont val="宋体"/>
        <charset val="134"/>
      </rPr>
      <t>*</t>
    </r>
  </si>
  <si>
    <t>无单证</t>
  </si>
  <si>
    <t>收件公司</t>
  </si>
  <si>
    <r>
      <rPr>
        <b/>
        <sz val="12"/>
        <color rgb="FF000000"/>
        <rFont val="宋体"/>
        <charset val="134"/>
      </rPr>
      <t>清关方式</t>
    </r>
    <r>
      <rPr>
        <b/>
        <sz val="12"/>
        <color rgb="FFFF0000"/>
        <rFont val="宋体"/>
        <charset val="134"/>
      </rPr>
      <t>*</t>
    </r>
  </si>
  <si>
    <t>包税</t>
  </si>
  <si>
    <t>收件地址</t>
  </si>
  <si>
    <r>
      <rPr>
        <b/>
        <sz val="12"/>
        <color rgb="FF000000"/>
        <rFont val="宋体"/>
        <charset val="134"/>
      </rPr>
      <t>总件数</t>
    </r>
    <r>
      <rPr>
        <b/>
        <sz val="12"/>
        <color rgb="FFFF0000"/>
        <rFont val="宋体"/>
        <charset val="134"/>
      </rPr>
      <t>*</t>
    </r>
  </si>
  <si>
    <t>{boxCount}</t>
  </si>
  <si>
    <t>收件电话</t>
  </si>
  <si>
    <t>PO NO（shipment ID）</t>
  </si>
  <si>
    <t>{referenceId}</t>
  </si>
  <si>
    <t>收件邮编</t>
  </si>
  <si>
    <t>发件人公司</t>
  </si>
  <si>
    <t>收件省/州</t>
  </si>
  <si>
    <t>发件人地址</t>
  </si>
  <si>
    <t>收件城市</t>
  </si>
  <si>
    <t>VAT和EORI注册公司名</t>
  </si>
  <si>
    <t>收件邮箱</t>
  </si>
  <si>
    <t>VAT和EORI注册地址</t>
  </si>
  <si>
    <t>备注</t>
  </si>
  <si>
    <t>VAT号</t>
  </si>
  <si>
    <t>是否指定海关编码</t>
  </si>
  <si>
    <t>EORI号</t>
  </si>
  <si>
    <t>是否购买保险</t>
  </si>
  <si>
    <t>预计到仓时间</t>
  </si>
  <si>
    <t>单行品名计算规则：总毛重=单箱毛重*总箱数；总净重=单箱净重*总箱数；产品总个数=单箱个数*总箱数；总价=单价*产品总个数*总箱数</t>
  </si>
  <si>
    <t>Shipment ID</t>
  </si>
  <si>
    <t>Amazon Reference ID</t>
  </si>
  <si>
    <t>唛头(非FBA地址填)</t>
  </si>
  <si>
    <t>CTN 件数</t>
  </si>
  <si>
    <t>品名(中文)</t>
  </si>
  <si>
    <t>品名(英文)</t>
  </si>
  <si>
    <t>Material 材质(中文)</t>
  </si>
  <si>
    <t>Material 材质(英文)</t>
  </si>
  <si>
    <t>Use for 用途(中英文)</t>
  </si>
  <si>
    <t>HS Code 海关编码</t>
  </si>
  <si>
    <t>Brands 品牌</t>
  </si>
  <si>
    <t>Model 型号</t>
  </si>
  <si>
    <t>总数量(单箱)</t>
  </si>
  <si>
    <t>Unit Value 单价(USD)</t>
  </si>
  <si>
    <t>Total amout 总价(USD)</t>
  </si>
  <si>
    <t>货箱长度L(cm)</t>
  </si>
  <si>
    <t>货箱宽度W(cm)</t>
  </si>
  <si>
    <t>货箱高度H(cm)</t>
  </si>
  <si>
    <t>毛重/箱</t>
  </si>
  <si>
    <t>总体积CBM</t>
  </si>
  <si>
    <t>总净重</t>
  </si>
  <si>
    <t>总毛重</t>
  </si>
  <si>
    <t>国家/州名/仓库/地址</t>
  </si>
  <si>
    <t>产品图片上传</t>
  </si>
  <si>
    <t>销售链接</t>
  </si>
  <si>
    <t>{fbaShipmentId}</t>
  </si>
  <si>
    <t>{.declareNameCh}</t>
  </si>
  <si>
    <t>{.declareNameEn}</t>
  </si>
  <si>
    <t>{.material}</t>
  </si>
  <si>
    <t>{.purpose}</t>
  </si>
  <si>
    <t>{.hsCode}</t>
  </si>
  <si>
    <t>{.brand}</t>
  </si>
  <si>
    <t>无</t>
  </si>
  <si>
    <t>{.boxPcs}</t>
  </si>
  <si>
    <t>{.boxSizeLength}</t>
  </si>
  <si>
    <t>{.boxSizeWidth}</t>
  </si>
  <si>
    <t>{.boxSizeHeight}</t>
  </si>
  <si>
    <t>{.boxWeight}</t>
  </si>
  <si>
    <t>{recipientAllAddress}</t>
  </si>
  <si>
    <t>{.salesLink}</t>
  </si>
  <si>
    <t>美国海运</t>
  </si>
  <si>
    <t>US-LAX00</t>
  </si>
  <si>
    <t xml:space="preserve">洛杉矶海外仓自提 </t>
  </si>
  <si>
    <t>LA/LB</t>
  </si>
  <si>
    <t>内部备注稳速达/普船/美森</t>
  </si>
  <si>
    <t>US-LAX01</t>
  </si>
  <si>
    <t>COSCO稳速达-含税</t>
  </si>
  <si>
    <t>美西海外仓拆柜派送（不限定派送方式，如需指定请备注）</t>
  </si>
  <si>
    <t>US-LAX02</t>
  </si>
  <si>
    <t>COSCO稳速达-不含税</t>
  </si>
  <si>
    <t>US-LAX03</t>
  </si>
  <si>
    <t>洛杉矶普船-含税</t>
  </si>
  <si>
    <t>US-LAX04</t>
  </si>
  <si>
    <t>洛杉矶普船-不含税</t>
  </si>
  <si>
    <t>US-LAX05</t>
  </si>
  <si>
    <t>洛杉矶王牌直送-含税</t>
  </si>
  <si>
    <t>整柜直送亚马逊</t>
  </si>
  <si>
    <t>US-LAX06</t>
  </si>
  <si>
    <t>洛杉矶王牌直送-不含税</t>
  </si>
  <si>
    <t>US-OAK00</t>
  </si>
  <si>
    <t>奥克兰海外仓自提</t>
  </si>
  <si>
    <t>US-OAK01</t>
  </si>
  <si>
    <t>奥克兰王牌直送-含税</t>
  </si>
  <si>
    <t>OAK</t>
  </si>
  <si>
    <t>US-OAK02</t>
  </si>
  <si>
    <t>奥克兰王牌直送-不含税</t>
  </si>
  <si>
    <t>US-OAK03</t>
  </si>
  <si>
    <t>奥克兰专线-含税</t>
  </si>
  <si>
    <t>奥克兰海外仓拆柜派送（奥克兰拆柜，只卡派和FEDXEX）</t>
  </si>
  <si>
    <t>US-OAK04</t>
  </si>
  <si>
    <t>奥克兰专线-不含税</t>
  </si>
  <si>
    <t>US-NYC00</t>
  </si>
  <si>
    <t>纽约海外仓自提</t>
  </si>
  <si>
    <r>
      <rPr>
        <sz val="10"/>
        <color indexed="8"/>
        <rFont val="微软雅黑"/>
        <charset val="134"/>
      </rPr>
      <t>N</t>
    </r>
    <r>
      <rPr>
        <sz val="10"/>
        <color indexed="8"/>
        <rFont val="微软雅黑"/>
        <charset val="134"/>
      </rPr>
      <t>Y</t>
    </r>
  </si>
  <si>
    <t>US-NYC01</t>
  </si>
  <si>
    <t>纽约王牌直送-含税</t>
  </si>
  <si>
    <t>NY</t>
  </si>
  <si>
    <t>US-NYC02</t>
  </si>
  <si>
    <t>纽约王牌直送-不含税</t>
  </si>
  <si>
    <t>纽约普船-含税</t>
  </si>
  <si>
    <t>美东海外仓拆柜派送（不限定派送方式，如需指定请备注）</t>
  </si>
  <si>
    <t>US-NYC04</t>
  </si>
  <si>
    <t>纽约普船-不含税</t>
  </si>
  <si>
    <t>US-HOU00</t>
  </si>
  <si>
    <t>休斯顿海外仓自提</t>
  </si>
  <si>
    <r>
      <rPr>
        <sz val="10"/>
        <color indexed="8"/>
        <rFont val="微软雅黑"/>
        <charset val="134"/>
      </rPr>
      <t>H</t>
    </r>
    <r>
      <rPr>
        <sz val="10"/>
        <color indexed="8"/>
        <rFont val="微软雅黑"/>
        <charset val="134"/>
      </rPr>
      <t>OU</t>
    </r>
  </si>
  <si>
    <t>US-HOU01</t>
  </si>
  <si>
    <t>休斯顿王牌直送-含税</t>
  </si>
  <si>
    <t>HOU</t>
  </si>
  <si>
    <t>US-HOU02</t>
  </si>
  <si>
    <t>休斯顿王牌直送-不含税</t>
  </si>
  <si>
    <t>US-HOU03</t>
  </si>
  <si>
    <t>休斯顿专线-含税</t>
  </si>
  <si>
    <t>休斯顿海外仓拆柜（目前不支持UPS，只支持FEDEX派送及卡派）</t>
  </si>
  <si>
    <t>US-HOU04</t>
  </si>
  <si>
    <t>休斯顿专线-不含税</t>
  </si>
  <si>
    <t>US-CHI00</t>
  </si>
  <si>
    <t>芝加哥海外仓自提</t>
  </si>
  <si>
    <r>
      <rPr>
        <sz val="10"/>
        <color indexed="8"/>
        <rFont val="微软雅黑"/>
        <charset val="134"/>
      </rPr>
      <t>C</t>
    </r>
    <r>
      <rPr>
        <sz val="10"/>
        <color indexed="8"/>
        <rFont val="微软雅黑"/>
        <charset val="134"/>
      </rPr>
      <t>HI</t>
    </r>
  </si>
  <si>
    <t>US-CHI01</t>
  </si>
  <si>
    <t>芝加哥专线-含税</t>
  </si>
  <si>
    <t>CHI</t>
  </si>
  <si>
    <t>芝加哥海外仓拆柜（目前不支持UPS，只支持FEDEX派送及卡派）</t>
  </si>
  <si>
    <t>US-CHI02</t>
  </si>
  <si>
    <t>芝加哥专线-不含税</t>
  </si>
  <si>
    <t>US-CLX01</t>
  </si>
  <si>
    <t>美森尊享达-含税</t>
  </si>
  <si>
    <t>美森正班（不限定派送方式，如需指定请备注）</t>
  </si>
  <si>
    <t>US-CLX02</t>
  </si>
  <si>
    <t>美森尊享达-不含税</t>
  </si>
  <si>
    <t>US-CLX03</t>
  </si>
  <si>
    <t>美森快船-含税</t>
  </si>
  <si>
    <t>US-CLX04</t>
  </si>
  <si>
    <t>美森快船-不含税</t>
  </si>
  <si>
    <t>US-CLX05</t>
  </si>
  <si>
    <t>美森加班-含税</t>
  </si>
  <si>
    <t>美森加班</t>
  </si>
  <si>
    <t>US-CLX06</t>
  </si>
  <si>
    <t>美森加班-不含税</t>
  </si>
  <si>
    <t>加拿大海运</t>
  </si>
  <si>
    <t>CA-CLX01</t>
  </si>
  <si>
    <t>加拿大尊享达-含税</t>
  </si>
  <si>
    <t>美国转加拿大</t>
  </si>
  <si>
    <t>CA-VCR00</t>
  </si>
  <si>
    <t>温哥华海外仓自提</t>
  </si>
  <si>
    <r>
      <rPr>
        <sz val="10"/>
        <color indexed="8"/>
        <rFont val="微软雅黑"/>
        <charset val="134"/>
      </rPr>
      <t>V</t>
    </r>
    <r>
      <rPr>
        <sz val="10"/>
        <color indexed="8"/>
        <rFont val="微软雅黑"/>
        <charset val="134"/>
      </rPr>
      <t>CR/TOR</t>
    </r>
  </si>
  <si>
    <t>温哥华&amp;多伦多拆柜派送
（不限定派送方式如需指定请备注）</t>
  </si>
  <si>
    <t>CA-TOR00</t>
  </si>
  <si>
    <t>多伦多海外仓自提</t>
  </si>
  <si>
    <r>
      <rPr>
        <sz val="12"/>
        <color theme="1"/>
        <rFont val="等线"/>
        <charset val="134"/>
        <scheme val="minor"/>
      </rPr>
      <t>C</t>
    </r>
    <r>
      <rPr>
        <sz val="12"/>
        <color theme="1"/>
        <rFont val="等线"/>
        <charset val="134"/>
        <scheme val="minor"/>
      </rPr>
      <t>A-P01</t>
    </r>
  </si>
  <si>
    <t>加拿大海派-含税</t>
  </si>
  <si>
    <t>CA-K01</t>
  </si>
  <si>
    <t>加拿大海卡-含税</t>
  </si>
  <si>
    <r>
      <rPr>
        <sz val="12"/>
        <color theme="1"/>
        <rFont val="等线"/>
        <charset val="134"/>
        <scheme val="minor"/>
      </rPr>
      <t>C</t>
    </r>
    <r>
      <rPr>
        <sz val="12"/>
        <color theme="1"/>
        <rFont val="等线"/>
        <charset val="134"/>
        <scheme val="minor"/>
      </rPr>
      <t>A-K02</t>
    </r>
  </si>
  <si>
    <t>加拿大海卡-不含税</t>
  </si>
  <si>
    <t>英国海运</t>
  </si>
  <si>
    <r>
      <rPr>
        <sz val="12"/>
        <color theme="1"/>
        <rFont val="等线"/>
        <charset val="134"/>
        <scheme val="minor"/>
      </rPr>
      <t>U</t>
    </r>
    <r>
      <rPr>
        <sz val="12"/>
        <color theme="1"/>
        <rFont val="等线"/>
        <charset val="134"/>
        <scheme val="minor"/>
      </rPr>
      <t>K-PVA</t>
    </r>
  </si>
  <si>
    <t>英国PVA海派</t>
  </si>
  <si>
    <t>英国海运专线
（不限定派送方式如需指定请备注）</t>
  </si>
  <si>
    <r>
      <rPr>
        <sz val="12"/>
        <color theme="1"/>
        <rFont val="等线"/>
        <charset val="134"/>
        <scheme val="minor"/>
      </rPr>
      <t>U</t>
    </r>
    <r>
      <rPr>
        <sz val="12"/>
        <color theme="1"/>
        <rFont val="等线"/>
        <charset val="134"/>
        <scheme val="minor"/>
      </rPr>
      <t>K-VAT</t>
    </r>
  </si>
  <si>
    <t>英国VAT海派</t>
  </si>
  <si>
    <t>英国海派包税</t>
  </si>
  <si>
    <t>欧洲铁派包税</t>
  </si>
  <si>
    <t>铁路</t>
  </si>
  <si>
    <t>海运到港</t>
  </si>
  <si>
    <t>传统海运</t>
  </si>
  <si>
    <t>空派专线含税</t>
  </si>
  <si>
    <t>空派专线到门</t>
  </si>
  <si>
    <t>空运到机场</t>
  </si>
  <si>
    <t>传统空运</t>
  </si>
  <si>
    <t>欧洲海派含税</t>
  </si>
  <si>
    <t>其他海运</t>
  </si>
  <si>
    <t>澳大利亚海派专线</t>
  </si>
  <si>
    <t>海派包税其他</t>
  </si>
  <si>
    <t>海派不含税其他</t>
  </si>
  <si>
    <t>海外仓贴标派送</t>
  </si>
  <si>
    <t>海外仓业务</t>
  </si>
  <si>
    <t>海外仓其他增值</t>
  </si>
  <si>
    <t>清关派送</t>
  </si>
  <si>
    <t>仅清关派送</t>
  </si>
  <si>
    <t>单证类</t>
  </si>
  <si>
    <t>单证类
（单做文件等业务）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</si>
</sst>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0.00_ "/>
  </numFmts>
  <fonts count="36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b/>
      <sz val="10"/>
      <color indexed="8"/>
      <name val="微软雅黑"/>
      <charset val="134"/>
    </font>
    <font>
      <sz val="11"/>
      <color theme="1"/>
      <name val="等线"/>
      <charset val="134"/>
      <scheme val="minor"/>
    </font>
    <font>
      <b/>
      <sz val="16"/>
      <color indexed="8"/>
      <name val="宋体"/>
      <charset val="134"/>
    </font>
    <font>
      <b/>
      <sz val="12"/>
      <color rgb="FF000000"/>
      <name val="宋体"/>
      <charset val="134"/>
    </font>
    <font>
      <sz val="12"/>
      <color rgb="FFFF0000"/>
      <name val="等线"/>
      <charset val="134"/>
      <scheme val="minor"/>
    </font>
    <font>
      <sz val="11"/>
      <color theme="1"/>
      <name val="宋体"/>
      <charset val="134"/>
    </font>
    <font>
      <b/>
      <sz val="12"/>
      <color rgb="FFFF0000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indexed="8"/>
      <name val="Tahoma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4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  <xf numFmtId="0" fontId="32" fillId="0" borderId="0"/>
    <xf numFmtId="176" fontId="33" fillId="0" borderId="0"/>
    <xf numFmtId="0" fontId="33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top" wrapText="1"/>
    </xf>
    <xf numFmtId="0" fontId="9" fillId="0" borderId="0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/>
    </xf>
    <xf numFmtId="0" fontId="7" fillId="0" borderId="11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9" fillId="0" borderId="0" xfId="0" applyFont="1" applyFill="1" applyAlignment="1">
      <alignment vertical="top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报关单070523" xfId="49"/>
    <cellStyle name="常规 30" xfId="50"/>
    <cellStyle name="常规 10 2" xfId="51"/>
    <cellStyle name="常规 2 3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37"/>
  <sheetViews>
    <sheetView tabSelected="1" zoomScale="70" zoomScaleNormal="70" topLeftCell="A8" workbookViewId="0">
      <selection activeCell="K18" sqref="K18:K37"/>
    </sheetView>
  </sheetViews>
  <sheetFormatPr defaultColWidth="10.875" defaultRowHeight="15.75"/>
  <cols>
    <col min="1" max="1" width="23.375" customWidth="1"/>
    <col min="2" max="2" width="13.625" customWidth="1"/>
    <col min="3" max="4" width="11.125" customWidth="1"/>
    <col min="5" max="5" width="21.875" customWidth="1"/>
    <col min="6" max="6" width="15.75" customWidth="1"/>
    <col min="9" max="9" width="21.425" customWidth="1"/>
    <col min="10" max="10" width="11.625" customWidth="1"/>
    <col min="23" max="23" width="24.825" customWidth="1"/>
    <col min="24" max="24" width="12.275" customWidth="1"/>
    <col min="25" max="25" width="12.725" customWidth="1"/>
  </cols>
  <sheetData>
    <row r="1" s="22" customFormat="1" ht="40.15" customHeight="1" spans="1:21">
      <c r="A1" s="23" t="s">
        <v>0</v>
      </c>
      <c r="B1" s="23"/>
      <c r="C1" s="23"/>
      <c r="D1" s="23"/>
      <c r="E1" s="23"/>
      <c r="F1" s="23"/>
      <c r="G1" s="23"/>
      <c r="H1" s="23"/>
      <c r="I1"/>
      <c r="J1"/>
      <c r="K1"/>
      <c r="L1"/>
      <c r="M1"/>
      <c r="N1"/>
      <c r="O1"/>
      <c r="P1"/>
      <c r="Q1" s="24"/>
      <c r="R1" s="24"/>
      <c r="S1" s="24"/>
      <c r="T1" s="24"/>
      <c r="U1" s="24"/>
    </row>
    <row r="2" s="22" customFormat="1" ht="36.4" customHeight="1" spans="1:21">
      <c r="A2" s="25" t="s">
        <v>1</v>
      </c>
      <c r="B2" s="26" t="s">
        <v>2</v>
      </c>
      <c r="C2" s="27"/>
      <c r="D2" s="27"/>
      <c r="E2" s="28" t="s">
        <v>3</v>
      </c>
      <c r="F2" s="29" t="s">
        <v>4</v>
      </c>
      <c r="G2" s="30"/>
      <c r="H2" s="31"/>
      <c r="I2" s="32"/>
      <c r="J2" s="32"/>
      <c r="K2"/>
      <c r="L2"/>
      <c r="M2"/>
      <c r="N2"/>
      <c r="O2"/>
      <c r="P2"/>
      <c r="Q2" s="33"/>
      <c r="R2" s="33"/>
      <c r="S2" s="33"/>
      <c r="T2" s="33"/>
      <c r="U2" s="33"/>
    </row>
    <row r="3" s="22" customFormat="1" ht="36.4" customHeight="1" spans="1:21">
      <c r="A3" s="34" t="s">
        <v>5</v>
      </c>
      <c r="B3" s="35"/>
      <c r="C3" s="27"/>
      <c r="D3" s="27"/>
      <c r="E3" s="36" t="s">
        <v>6</v>
      </c>
      <c r="F3" s="37" t="s">
        <v>7</v>
      </c>
      <c r="G3" s="38"/>
      <c r="H3" s="38"/>
      <c r="I3"/>
      <c r="J3"/>
      <c r="K3"/>
      <c r="L3"/>
      <c r="M3"/>
      <c r="N3"/>
      <c r="O3"/>
      <c r="P3"/>
      <c r="Q3" s="33"/>
      <c r="R3" s="33"/>
      <c r="S3" s="33"/>
      <c r="T3" s="33"/>
      <c r="U3" s="33"/>
    </row>
    <row r="4" s="22" customFormat="1" ht="36.4" customHeight="1" spans="1:21">
      <c r="A4" s="25" t="s">
        <v>8</v>
      </c>
      <c r="B4" s="26" t="s">
        <v>9</v>
      </c>
      <c r="C4" s="27"/>
      <c r="D4" s="27"/>
      <c r="E4" s="28" t="s">
        <v>10</v>
      </c>
      <c r="F4" s="39"/>
      <c r="G4" s="40"/>
      <c r="H4" s="41"/>
      <c r="I4"/>
      <c r="J4"/>
      <c r="K4"/>
      <c r="L4"/>
      <c r="M4"/>
      <c r="N4"/>
      <c r="O4"/>
      <c r="P4"/>
      <c r="Q4" s="33"/>
      <c r="R4" s="33"/>
      <c r="S4" s="33"/>
      <c r="T4" s="33"/>
      <c r="U4" s="33"/>
    </row>
    <row r="5" s="22" customFormat="1" ht="36.4" customHeight="1" spans="1:21">
      <c r="A5" s="25" t="s">
        <v>11</v>
      </c>
      <c r="B5" s="26" t="s">
        <v>12</v>
      </c>
      <c r="C5" s="27"/>
      <c r="D5" s="27"/>
      <c r="E5" s="28" t="s">
        <v>13</v>
      </c>
      <c r="F5" s="35"/>
      <c r="G5" s="27"/>
      <c r="H5" s="42"/>
      <c r="I5"/>
      <c r="J5"/>
      <c r="K5"/>
      <c r="L5"/>
      <c r="M5"/>
      <c r="N5"/>
      <c r="O5"/>
      <c r="P5"/>
      <c r="Q5" s="33"/>
      <c r="R5" s="33"/>
      <c r="S5" s="33"/>
      <c r="T5" s="33"/>
      <c r="U5" s="33"/>
    </row>
    <row r="6" s="22" customFormat="1" ht="36.4" customHeight="1" spans="1:21">
      <c r="A6" s="25" t="s">
        <v>14</v>
      </c>
      <c r="B6" s="35" t="s">
        <v>15</v>
      </c>
      <c r="C6" s="27"/>
      <c r="D6" s="27"/>
      <c r="E6" s="28" t="s">
        <v>16</v>
      </c>
      <c r="F6" s="26"/>
      <c r="G6" s="27"/>
      <c r="H6" s="42"/>
      <c r="I6"/>
      <c r="J6"/>
      <c r="K6"/>
      <c r="L6"/>
      <c r="M6"/>
      <c r="N6"/>
      <c r="O6"/>
      <c r="P6"/>
      <c r="Q6" s="33"/>
      <c r="R6" s="33"/>
      <c r="S6" s="33"/>
      <c r="T6" s="33"/>
      <c r="U6" s="33"/>
    </row>
    <row r="7" s="22" customFormat="1" ht="36.4" customHeight="1" spans="1:21">
      <c r="A7" s="36" t="s">
        <v>17</v>
      </c>
      <c r="B7" s="35" t="s">
        <v>18</v>
      </c>
      <c r="C7" s="27"/>
      <c r="D7" s="27"/>
      <c r="E7" s="28" t="s">
        <v>19</v>
      </c>
      <c r="F7" s="35"/>
      <c r="G7" s="27"/>
      <c r="H7" s="42"/>
      <c r="I7"/>
      <c r="J7"/>
      <c r="K7"/>
      <c r="L7"/>
      <c r="M7"/>
      <c r="N7"/>
      <c r="O7"/>
      <c r="P7"/>
      <c r="Q7" s="33"/>
      <c r="R7" s="33"/>
      <c r="S7" s="33"/>
      <c r="T7" s="33"/>
      <c r="U7" s="33"/>
    </row>
    <row r="8" s="22" customFormat="1" ht="36.4" customHeight="1" spans="1:21">
      <c r="A8" s="28" t="s">
        <v>20</v>
      </c>
      <c r="B8" s="43" t="s">
        <v>21</v>
      </c>
      <c r="C8" s="44"/>
      <c r="D8" s="44"/>
      <c r="E8" s="28" t="s">
        <v>22</v>
      </c>
      <c r="F8" s="35"/>
      <c r="G8" s="27"/>
      <c r="H8" s="42"/>
      <c r="I8"/>
      <c r="J8"/>
      <c r="K8"/>
      <c r="L8"/>
      <c r="M8"/>
      <c r="N8"/>
      <c r="O8"/>
      <c r="P8"/>
      <c r="Q8" s="33"/>
      <c r="R8" s="33"/>
      <c r="S8" s="33"/>
      <c r="T8" s="33"/>
      <c r="U8" s="33"/>
    </row>
    <row r="9" s="22" customFormat="1" ht="36.4" customHeight="1" spans="1:21">
      <c r="A9" s="28" t="s">
        <v>23</v>
      </c>
      <c r="B9" s="43"/>
      <c r="C9" s="44"/>
      <c r="D9" s="44"/>
      <c r="E9" s="28" t="s">
        <v>24</v>
      </c>
      <c r="F9" s="35"/>
      <c r="G9" s="27"/>
      <c r="H9" s="42"/>
      <c r="I9"/>
      <c r="J9"/>
      <c r="K9"/>
      <c r="L9"/>
      <c r="M9"/>
      <c r="N9"/>
      <c r="O9"/>
      <c r="P9"/>
      <c r="Q9" s="33"/>
      <c r="R9" s="33"/>
      <c r="S9" s="33"/>
      <c r="T9" s="33"/>
      <c r="U9" s="33"/>
    </row>
    <row r="10" s="22" customFormat="1" ht="36.4" customHeight="1" spans="1:21">
      <c r="A10" s="28" t="s">
        <v>25</v>
      </c>
      <c r="B10" s="43"/>
      <c r="C10" s="44"/>
      <c r="D10" s="44"/>
      <c r="E10" s="28" t="s">
        <v>26</v>
      </c>
      <c r="F10" s="35"/>
      <c r="G10" s="27"/>
      <c r="H10" s="42"/>
      <c r="I10"/>
      <c r="J10"/>
      <c r="K10"/>
      <c r="L10"/>
      <c r="M10"/>
      <c r="N10"/>
      <c r="O10"/>
      <c r="P10"/>
      <c r="Q10" s="33"/>
      <c r="R10" s="33"/>
      <c r="S10" s="33"/>
      <c r="T10" s="33"/>
      <c r="U10" s="33"/>
    </row>
    <row r="11" s="22" customFormat="1" ht="36.4" customHeight="1" spans="1:21">
      <c r="A11" s="28" t="s">
        <v>27</v>
      </c>
      <c r="B11" s="43"/>
      <c r="C11" s="44"/>
      <c r="D11" s="44"/>
      <c r="E11" s="28" t="s">
        <v>28</v>
      </c>
      <c r="F11" s="35"/>
      <c r="G11" s="27"/>
      <c r="H11" s="42"/>
      <c r="I11"/>
      <c r="J11"/>
      <c r="K11"/>
      <c r="L11"/>
      <c r="M11"/>
      <c r="N11"/>
      <c r="O11"/>
      <c r="P11"/>
      <c r="Q11" s="33"/>
      <c r="R11" s="33"/>
      <c r="S11" s="33"/>
      <c r="T11" s="33"/>
      <c r="U11" s="33"/>
    </row>
    <row r="12" s="22" customFormat="1" ht="36.4" customHeight="1" spans="1:21">
      <c r="A12" s="28" t="s">
        <v>29</v>
      </c>
      <c r="B12" s="43"/>
      <c r="C12" s="44"/>
      <c r="D12" s="44"/>
      <c r="E12" s="28" t="s">
        <v>30</v>
      </c>
      <c r="F12" s="35"/>
      <c r="G12" s="27"/>
      <c r="H12" s="42"/>
      <c r="I12"/>
      <c r="J12"/>
      <c r="K12"/>
      <c r="L12"/>
      <c r="M12"/>
      <c r="N12"/>
      <c r="O12"/>
      <c r="P12"/>
      <c r="Q12" s="45"/>
      <c r="R12" s="45"/>
      <c r="S12" s="45"/>
      <c r="T12" s="45"/>
      <c r="U12" s="46"/>
    </row>
    <row r="13" s="22" customFormat="1" ht="36.4" customHeight="1" spans="1:21">
      <c r="A13" s="28" t="s">
        <v>31</v>
      </c>
      <c r="B13" s="43"/>
      <c r="C13" s="44"/>
      <c r="D13" s="44"/>
      <c r="E13" s="28" t="s">
        <v>32</v>
      </c>
      <c r="F13" s="35"/>
      <c r="G13" s="27"/>
      <c r="H13" s="42"/>
      <c r="I13"/>
      <c r="J13"/>
      <c r="K13"/>
      <c r="L13"/>
      <c r="M13"/>
      <c r="N13"/>
      <c r="O13"/>
      <c r="P13"/>
      <c r="Q13" s="45"/>
      <c r="R13" s="45"/>
      <c r="S13" s="45"/>
      <c r="T13" s="45"/>
      <c r="U13" s="46"/>
    </row>
    <row r="14" s="22" customFormat="1" ht="36.4" customHeight="1" spans="1:21">
      <c r="A14" s="28" t="s">
        <v>33</v>
      </c>
      <c r="B14" s="43"/>
      <c r="C14" s="44"/>
      <c r="D14" s="44"/>
      <c r="E14" s="47" t="s">
        <v>34</v>
      </c>
      <c r="F14" s="48"/>
      <c r="G14" s="49"/>
      <c r="H14" s="50"/>
      <c r="I14"/>
      <c r="J14"/>
      <c r="K14"/>
      <c r="L14"/>
      <c r="M14"/>
      <c r="N14"/>
      <c r="O14"/>
      <c r="P14"/>
      <c r="Q14" s="45"/>
      <c r="R14" s="45"/>
      <c r="S14" s="45"/>
      <c r="T14" s="45"/>
      <c r="U14" s="33"/>
    </row>
    <row r="15" s="22" customFormat="1" ht="36.4" customHeight="1" spans="1:21">
      <c r="A15" s="51" t="s">
        <v>35</v>
      </c>
      <c r="B15" s="52"/>
      <c r="C15" s="52"/>
      <c r="D15" s="52"/>
      <c r="E15" s="52"/>
      <c r="F15" s="52"/>
      <c r="G15" s="52"/>
      <c r="H15" s="52"/>
      <c r="I15"/>
      <c r="J15"/>
      <c r="K15"/>
      <c r="L15"/>
      <c r="M15"/>
      <c r="N15"/>
      <c r="O15"/>
      <c r="P15"/>
      <c r="Q15" s="45"/>
      <c r="R15" s="45"/>
      <c r="S15" s="45"/>
      <c r="T15" s="45"/>
      <c r="U15" s="33"/>
    </row>
    <row r="16" s="22" customFormat="1" ht="36.4" customHeight="1" spans="1:21">
      <c r="A16" s="53" t="s">
        <v>36</v>
      </c>
      <c r="B16" s="54"/>
      <c r="C16" s="55"/>
      <c r="D16" s="55"/>
      <c r="E16" s="56"/>
      <c r="F16" s="56"/>
      <c r="G16" s="55"/>
      <c r="H16" s="55"/>
      <c r="I16" s="55"/>
      <c r="J16" s="55"/>
      <c r="K16" s="55"/>
      <c r="L16" s="55"/>
      <c r="M16" s="55"/>
      <c r="N16" s="55"/>
      <c r="O16" s="55"/>
      <c r="P16" s="57"/>
      <c r="Q16" s="58"/>
      <c r="R16" s="58"/>
      <c r="S16" s="58"/>
      <c r="T16" s="58"/>
      <c r="U16" s="33"/>
    </row>
    <row r="17" ht="24" spans="1:25">
      <c r="A17" s="59" t="s">
        <v>37</v>
      </c>
      <c r="B17" s="59" t="s">
        <v>38</v>
      </c>
      <c r="C17" s="59" t="s">
        <v>39</v>
      </c>
      <c r="D17" s="59" t="s">
        <v>40</v>
      </c>
      <c r="E17" s="59" t="s">
        <v>41</v>
      </c>
      <c r="F17" s="59" t="s">
        <v>42</v>
      </c>
      <c r="G17" s="59" t="s">
        <v>43</v>
      </c>
      <c r="H17" s="59" t="s">
        <v>44</v>
      </c>
      <c r="I17" s="59" t="s">
        <v>45</v>
      </c>
      <c r="J17" s="59" t="s">
        <v>46</v>
      </c>
      <c r="K17" s="59" t="s">
        <v>47</v>
      </c>
      <c r="L17" s="59" t="s">
        <v>48</v>
      </c>
      <c r="M17" s="60" t="s">
        <v>49</v>
      </c>
      <c r="N17" s="59" t="s">
        <v>50</v>
      </c>
      <c r="O17" s="59" t="s">
        <v>51</v>
      </c>
      <c r="P17" s="59" t="s">
        <v>52</v>
      </c>
      <c r="Q17" s="59" t="s">
        <v>53</v>
      </c>
      <c r="R17" s="59" t="s">
        <v>54</v>
      </c>
      <c r="S17" s="60" t="s">
        <v>55</v>
      </c>
      <c r="T17" s="59" t="s">
        <v>56</v>
      </c>
      <c r="U17" s="59" t="s">
        <v>57</v>
      </c>
      <c r="V17" s="59" t="s">
        <v>58</v>
      </c>
      <c r="W17" s="59" t="s">
        <v>59</v>
      </c>
      <c r="X17" s="59" t="s">
        <v>60</v>
      </c>
      <c r="Y17" s="61" t="s">
        <v>61</v>
      </c>
    </row>
    <row r="18" ht="66" customHeight="1" spans="1:25">
      <c r="A18" s="62" t="s">
        <v>62</v>
      </c>
      <c r="B18" s="37" t="s">
        <v>21</v>
      </c>
      <c r="C18" s="38"/>
      <c r="D18" s="38">
        <v>1</v>
      </c>
      <c r="E18" s="37" t="s">
        <v>63</v>
      </c>
      <c r="F18" s="62" t="s">
        <v>64</v>
      </c>
      <c r="G18" s="62" t="s">
        <v>65</v>
      </c>
      <c r="H18" s="62"/>
      <c r="I18" s="62" t="s">
        <v>66</v>
      </c>
      <c r="J18" s="37" t="s">
        <v>67</v>
      </c>
      <c r="K18" s="37" t="s">
        <v>68</v>
      </c>
      <c r="L18" s="37" t="s">
        <v>69</v>
      </c>
      <c r="M18" s="38" t="s">
        <v>70</v>
      </c>
      <c r="N18" s="38"/>
      <c r="O18" s="38" t="e">
        <f>M18*N18</f>
        <v>#VALUE!</v>
      </c>
      <c r="P18" s="38" t="s">
        <v>71</v>
      </c>
      <c r="Q18" s="38" t="s">
        <v>72</v>
      </c>
      <c r="R18" s="38" t="s">
        <v>73</v>
      </c>
      <c r="S18" s="38" t="s">
        <v>74</v>
      </c>
      <c r="T18" s="63"/>
      <c r="U18" s="38" t="e">
        <f>V18-D18</f>
        <v>#VALUE!</v>
      </c>
      <c r="V18" s="38" t="e">
        <f>D18*S18</f>
        <v>#VALUE!</v>
      </c>
      <c r="W18" s="62" t="s">
        <v>75</v>
      </c>
      <c r="X18" s="64"/>
      <c r="Y18" s="65" t="s">
        <v>76</v>
      </c>
    </row>
    <row r="19" ht="66" customHeight="1" spans="1:25">
      <c r="A19" s="62" t="s">
        <v>62</v>
      </c>
      <c r="B19" s="37" t="s">
        <v>21</v>
      </c>
      <c r="C19" s="38"/>
      <c r="D19" s="38">
        <v>1</v>
      </c>
      <c r="E19" s="37" t="s">
        <v>63</v>
      </c>
      <c r="F19" s="62" t="s">
        <v>64</v>
      </c>
      <c r="G19" s="62" t="s">
        <v>65</v>
      </c>
      <c r="H19" s="62"/>
      <c r="I19" s="62" t="s">
        <v>66</v>
      </c>
      <c r="J19" s="37" t="s">
        <v>67</v>
      </c>
      <c r="K19" s="37" t="s">
        <v>68</v>
      </c>
      <c r="L19" s="37" t="s">
        <v>69</v>
      </c>
      <c r="M19" s="38" t="s">
        <v>70</v>
      </c>
      <c r="N19" s="38"/>
      <c r="O19" s="38" t="e">
        <f t="shared" ref="O19:O31" si="0">M19*N19</f>
        <v>#VALUE!</v>
      </c>
      <c r="P19" s="38" t="s">
        <v>71</v>
      </c>
      <c r="Q19" s="38" t="s">
        <v>72</v>
      </c>
      <c r="R19" s="38" t="s">
        <v>73</v>
      </c>
      <c r="S19" s="38" t="s">
        <v>74</v>
      </c>
      <c r="T19" s="63"/>
      <c r="U19" s="38" t="e">
        <f t="shared" ref="U19:U31" si="1">V19-D19</f>
        <v>#VALUE!</v>
      </c>
      <c r="V19" s="38" t="e">
        <f t="shared" ref="V19:V31" si="2">D19*S19</f>
        <v>#VALUE!</v>
      </c>
      <c r="W19" s="62" t="s">
        <v>75</v>
      </c>
      <c r="X19" s="64"/>
      <c r="Y19" s="65" t="s">
        <v>76</v>
      </c>
    </row>
    <row r="20" ht="66" customHeight="1" spans="1:25">
      <c r="A20" s="62" t="s">
        <v>62</v>
      </c>
      <c r="B20" s="37" t="s">
        <v>21</v>
      </c>
      <c r="C20" s="38"/>
      <c r="D20" s="38">
        <v>1</v>
      </c>
      <c r="E20" s="37" t="s">
        <v>63</v>
      </c>
      <c r="F20" s="62" t="s">
        <v>64</v>
      </c>
      <c r="G20" s="62" t="s">
        <v>65</v>
      </c>
      <c r="H20" s="62"/>
      <c r="I20" s="62" t="s">
        <v>66</v>
      </c>
      <c r="J20" s="37" t="s">
        <v>67</v>
      </c>
      <c r="K20" s="37" t="s">
        <v>68</v>
      </c>
      <c r="L20" s="37" t="s">
        <v>69</v>
      </c>
      <c r="M20" s="38" t="s">
        <v>70</v>
      </c>
      <c r="N20" s="38"/>
      <c r="O20" s="38" t="e">
        <f t="shared" si="0"/>
        <v>#VALUE!</v>
      </c>
      <c r="P20" s="38" t="s">
        <v>71</v>
      </c>
      <c r="Q20" s="38" t="s">
        <v>72</v>
      </c>
      <c r="R20" s="38" t="s">
        <v>73</v>
      </c>
      <c r="S20" s="38" t="s">
        <v>74</v>
      </c>
      <c r="T20" s="63"/>
      <c r="U20" s="38" t="e">
        <f t="shared" si="1"/>
        <v>#VALUE!</v>
      </c>
      <c r="V20" s="38" t="e">
        <f t="shared" si="2"/>
        <v>#VALUE!</v>
      </c>
      <c r="W20" s="62" t="s">
        <v>75</v>
      </c>
      <c r="X20" s="64"/>
      <c r="Y20" s="65" t="s">
        <v>76</v>
      </c>
    </row>
    <row r="21" ht="66" customHeight="1" spans="1:25">
      <c r="A21" s="62" t="s">
        <v>62</v>
      </c>
      <c r="B21" s="37" t="s">
        <v>21</v>
      </c>
      <c r="C21" s="38"/>
      <c r="D21" s="38">
        <v>1</v>
      </c>
      <c r="E21" s="37" t="s">
        <v>63</v>
      </c>
      <c r="F21" s="62" t="s">
        <v>64</v>
      </c>
      <c r="G21" s="62" t="s">
        <v>65</v>
      </c>
      <c r="H21" s="62"/>
      <c r="I21" s="62" t="s">
        <v>66</v>
      </c>
      <c r="J21" s="37" t="s">
        <v>67</v>
      </c>
      <c r="K21" s="37" t="s">
        <v>68</v>
      </c>
      <c r="L21" s="37" t="s">
        <v>69</v>
      </c>
      <c r="M21" s="38" t="s">
        <v>70</v>
      </c>
      <c r="N21" s="38"/>
      <c r="O21" s="38" t="e">
        <f t="shared" si="0"/>
        <v>#VALUE!</v>
      </c>
      <c r="P21" s="38" t="s">
        <v>71</v>
      </c>
      <c r="Q21" s="38" t="s">
        <v>72</v>
      </c>
      <c r="R21" s="38" t="s">
        <v>73</v>
      </c>
      <c r="S21" s="38" t="s">
        <v>74</v>
      </c>
      <c r="T21" s="63"/>
      <c r="U21" s="38" t="e">
        <f t="shared" si="1"/>
        <v>#VALUE!</v>
      </c>
      <c r="V21" s="38" t="e">
        <f t="shared" si="2"/>
        <v>#VALUE!</v>
      </c>
      <c r="W21" s="62" t="s">
        <v>75</v>
      </c>
      <c r="X21" s="64"/>
      <c r="Y21" s="65" t="s">
        <v>76</v>
      </c>
    </row>
    <row r="22" customFormat="1" ht="66" customHeight="1" spans="1:25">
      <c r="A22" s="62" t="s">
        <v>62</v>
      </c>
      <c r="B22" s="37" t="s">
        <v>21</v>
      </c>
      <c r="C22" s="38"/>
      <c r="D22" s="38">
        <v>1</v>
      </c>
      <c r="E22" s="37" t="s">
        <v>63</v>
      </c>
      <c r="F22" s="62" t="s">
        <v>64</v>
      </c>
      <c r="G22" s="62" t="s">
        <v>65</v>
      </c>
      <c r="H22" s="62"/>
      <c r="I22" s="62" t="s">
        <v>66</v>
      </c>
      <c r="J22" s="37" t="s">
        <v>67</v>
      </c>
      <c r="K22" s="37" t="s">
        <v>68</v>
      </c>
      <c r="L22" s="37" t="s">
        <v>69</v>
      </c>
      <c r="M22" s="38" t="s">
        <v>70</v>
      </c>
      <c r="N22" s="38"/>
      <c r="O22" s="38" t="e">
        <f t="shared" si="0"/>
        <v>#VALUE!</v>
      </c>
      <c r="P22" s="38" t="s">
        <v>71</v>
      </c>
      <c r="Q22" s="38" t="s">
        <v>72</v>
      </c>
      <c r="R22" s="38" t="s">
        <v>73</v>
      </c>
      <c r="S22" s="38" t="s">
        <v>74</v>
      </c>
      <c r="T22" s="63"/>
      <c r="U22" s="38" t="e">
        <f t="shared" si="1"/>
        <v>#VALUE!</v>
      </c>
      <c r="V22" s="38" t="e">
        <f t="shared" si="2"/>
        <v>#VALUE!</v>
      </c>
      <c r="W22" s="62" t="s">
        <v>75</v>
      </c>
      <c r="X22" s="64"/>
      <c r="Y22" s="65" t="s">
        <v>76</v>
      </c>
    </row>
    <row r="23" customFormat="1" ht="66" customHeight="1" spans="1:25">
      <c r="A23" s="62" t="s">
        <v>62</v>
      </c>
      <c r="B23" s="37" t="s">
        <v>21</v>
      </c>
      <c r="C23" s="38"/>
      <c r="D23" s="38">
        <v>1</v>
      </c>
      <c r="E23" s="37" t="s">
        <v>63</v>
      </c>
      <c r="F23" s="62" t="s">
        <v>64</v>
      </c>
      <c r="G23" s="62" t="s">
        <v>65</v>
      </c>
      <c r="H23" s="62"/>
      <c r="I23" s="62" t="s">
        <v>66</v>
      </c>
      <c r="J23" s="37" t="s">
        <v>67</v>
      </c>
      <c r="K23" s="37" t="s">
        <v>68</v>
      </c>
      <c r="L23" s="37" t="s">
        <v>69</v>
      </c>
      <c r="M23" s="38" t="s">
        <v>70</v>
      </c>
      <c r="N23" s="38"/>
      <c r="O23" s="38" t="e">
        <f t="shared" si="0"/>
        <v>#VALUE!</v>
      </c>
      <c r="P23" s="38" t="s">
        <v>71</v>
      </c>
      <c r="Q23" s="38" t="s">
        <v>72</v>
      </c>
      <c r="R23" s="38" t="s">
        <v>73</v>
      </c>
      <c r="S23" s="38" t="s">
        <v>74</v>
      </c>
      <c r="T23" s="63"/>
      <c r="U23" s="38" t="e">
        <f t="shared" si="1"/>
        <v>#VALUE!</v>
      </c>
      <c r="V23" s="38" t="e">
        <f t="shared" si="2"/>
        <v>#VALUE!</v>
      </c>
      <c r="W23" s="62" t="s">
        <v>75</v>
      </c>
      <c r="X23" s="64"/>
      <c r="Y23" s="65" t="s">
        <v>76</v>
      </c>
    </row>
    <row r="24" customFormat="1" ht="66" customHeight="1" spans="1:25">
      <c r="A24" s="62" t="s">
        <v>62</v>
      </c>
      <c r="B24" s="37" t="s">
        <v>21</v>
      </c>
      <c r="C24" s="38"/>
      <c r="D24" s="38">
        <v>1</v>
      </c>
      <c r="E24" s="37" t="s">
        <v>63</v>
      </c>
      <c r="F24" s="62" t="s">
        <v>64</v>
      </c>
      <c r="G24" s="62" t="s">
        <v>65</v>
      </c>
      <c r="H24" s="62"/>
      <c r="I24" s="62" t="s">
        <v>66</v>
      </c>
      <c r="J24" s="37" t="s">
        <v>67</v>
      </c>
      <c r="K24" s="37" t="s">
        <v>68</v>
      </c>
      <c r="L24" s="37" t="s">
        <v>69</v>
      </c>
      <c r="M24" s="38" t="s">
        <v>70</v>
      </c>
      <c r="N24" s="38"/>
      <c r="O24" s="38" t="e">
        <f t="shared" si="0"/>
        <v>#VALUE!</v>
      </c>
      <c r="P24" s="38" t="s">
        <v>71</v>
      </c>
      <c r="Q24" s="38" t="s">
        <v>72</v>
      </c>
      <c r="R24" s="38" t="s">
        <v>73</v>
      </c>
      <c r="S24" s="38" t="s">
        <v>74</v>
      </c>
      <c r="T24" s="63"/>
      <c r="U24" s="38" t="e">
        <f t="shared" si="1"/>
        <v>#VALUE!</v>
      </c>
      <c r="V24" s="38" t="e">
        <f t="shared" si="2"/>
        <v>#VALUE!</v>
      </c>
      <c r="W24" s="62" t="s">
        <v>75</v>
      </c>
      <c r="X24" s="64"/>
      <c r="Y24" s="65" t="s">
        <v>76</v>
      </c>
    </row>
    <row r="25" customFormat="1" ht="66" customHeight="1" spans="1:25">
      <c r="A25" s="62" t="s">
        <v>62</v>
      </c>
      <c r="B25" s="37" t="s">
        <v>21</v>
      </c>
      <c r="C25" s="38"/>
      <c r="D25" s="38">
        <v>1</v>
      </c>
      <c r="E25" s="37" t="s">
        <v>63</v>
      </c>
      <c r="F25" s="62" t="s">
        <v>64</v>
      </c>
      <c r="G25" s="62" t="s">
        <v>65</v>
      </c>
      <c r="H25" s="62"/>
      <c r="I25" s="62" t="s">
        <v>66</v>
      </c>
      <c r="J25" s="37" t="s">
        <v>67</v>
      </c>
      <c r="K25" s="37" t="s">
        <v>68</v>
      </c>
      <c r="L25" s="37" t="s">
        <v>69</v>
      </c>
      <c r="M25" s="38" t="s">
        <v>70</v>
      </c>
      <c r="N25" s="38"/>
      <c r="O25" s="38" t="e">
        <f t="shared" si="0"/>
        <v>#VALUE!</v>
      </c>
      <c r="P25" s="38" t="s">
        <v>71</v>
      </c>
      <c r="Q25" s="38" t="s">
        <v>72</v>
      </c>
      <c r="R25" s="38" t="s">
        <v>73</v>
      </c>
      <c r="S25" s="38" t="s">
        <v>74</v>
      </c>
      <c r="T25" s="63"/>
      <c r="U25" s="38" t="e">
        <f t="shared" si="1"/>
        <v>#VALUE!</v>
      </c>
      <c r="V25" s="38" t="e">
        <f t="shared" si="2"/>
        <v>#VALUE!</v>
      </c>
      <c r="W25" s="62" t="s">
        <v>75</v>
      </c>
      <c r="X25" s="64"/>
      <c r="Y25" s="65" t="s">
        <v>76</v>
      </c>
    </row>
    <row r="26" customFormat="1" ht="66" customHeight="1" spans="1:25">
      <c r="A26" s="62" t="s">
        <v>62</v>
      </c>
      <c r="B26" s="37" t="s">
        <v>21</v>
      </c>
      <c r="C26" s="38"/>
      <c r="D26" s="38">
        <v>1</v>
      </c>
      <c r="E26" s="37" t="s">
        <v>63</v>
      </c>
      <c r="F26" s="62" t="s">
        <v>64</v>
      </c>
      <c r="G26" s="62" t="s">
        <v>65</v>
      </c>
      <c r="H26" s="62"/>
      <c r="I26" s="62" t="s">
        <v>66</v>
      </c>
      <c r="J26" s="37" t="s">
        <v>67</v>
      </c>
      <c r="K26" s="37" t="s">
        <v>68</v>
      </c>
      <c r="L26" s="37" t="s">
        <v>69</v>
      </c>
      <c r="M26" s="38" t="s">
        <v>70</v>
      </c>
      <c r="N26" s="38"/>
      <c r="O26" s="38" t="e">
        <f t="shared" si="0"/>
        <v>#VALUE!</v>
      </c>
      <c r="P26" s="38" t="s">
        <v>71</v>
      </c>
      <c r="Q26" s="38" t="s">
        <v>72</v>
      </c>
      <c r="R26" s="38" t="s">
        <v>73</v>
      </c>
      <c r="S26" s="38" t="s">
        <v>74</v>
      </c>
      <c r="T26" s="63"/>
      <c r="U26" s="38" t="e">
        <f t="shared" si="1"/>
        <v>#VALUE!</v>
      </c>
      <c r="V26" s="38" t="e">
        <f t="shared" si="2"/>
        <v>#VALUE!</v>
      </c>
      <c r="W26" s="62" t="s">
        <v>75</v>
      </c>
      <c r="X26" s="64"/>
      <c r="Y26" s="65" t="s">
        <v>76</v>
      </c>
    </row>
    <row r="27" customFormat="1" ht="66" customHeight="1" spans="1:25">
      <c r="A27" s="62" t="s">
        <v>62</v>
      </c>
      <c r="B27" s="37" t="s">
        <v>21</v>
      </c>
      <c r="C27" s="38"/>
      <c r="D27" s="38">
        <v>1</v>
      </c>
      <c r="E27" s="37" t="s">
        <v>63</v>
      </c>
      <c r="F27" s="62" t="s">
        <v>64</v>
      </c>
      <c r="G27" s="62" t="s">
        <v>65</v>
      </c>
      <c r="H27" s="62"/>
      <c r="I27" s="62" t="s">
        <v>66</v>
      </c>
      <c r="J27" s="37" t="s">
        <v>67</v>
      </c>
      <c r="K27" s="37" t="s">
        <v>68</v>
      </c>
      <c r="L27" s="37" t="s">
        <v>69</v>
      </c>
      <c r="M27" s="38" t="s">
        <v>70</v>
      </c>
      <c r="N27" s="38"/>
      <c r="O27" s="38" t="e">
        <f t="shared" si="0"/>
        <v>#VALUE!</v>
      </c>
      <c r="P27" s="38" t="s">
        <v>71</v>
      </c>
      <c r="Q27" s="38" t="s">
        <v>72</v>
      </c>
      <c r="R27" s="38" t="s">
        <v>73</v>
      </c>
      <c r="S27" s="38" t="s">
        <v>74</v>
      </c>
      <c r="T27" s="63"/>
      <c r="U27" s="38" t="e">
        <f t="shared" si="1"/>
        <v>#VALUE!</v>
      </c>
      <c r="V27" s="38" t="e">
        <f t="shared" si="2"/>
        <v>#VALUE!</v>
      </c>
      <c r="W27" s="62" t="s">
        <v>75</v>
      </c>
      <c r="X27" s="64"/>
      <c r="Y27" s="65" t="s">
        <v>76</v>
      </c>
    </row>
    <row r="28" customFormat="1" ht="66" customHeight="1" spans="1:25">
      <c r="A28" s="62" t="s">
        <v>62</v>
      </c>
      <c r="B28" s="37" t="s">
        <v>21</v>
      </c>
      <c r="C28" s="38"/>
      <c r="D28" s="38">
        <v>1</v>
      </c>
      <c r="E28" s="37" t="s">
        <v>63</v>
      </c>
      <c r="F28" s="62" t="s">
        <v>64</v>
      </c>
      <c r="G28" s="62" t="s">
        <v>65</v>
      </c>
      <c r="H28" s="62"/>
      <c r="I28" s="62" t="s">
        <v>66</v>
      </c>
      <c r="J28" s="37" t="s">
        <v>67</v>
      </c>
      <c r="K28" s="37" t="s">
        <v>68</v>
      </c>
      <c r="L28" s="37" t="s">
        <v>69</v>
      </c>
      <c r="M28" s="38" t="s">
        <v>70</v>
      </c>
      <c r="N28" s="38"/>
      <c r="O28" s="38" t="e">
        <f t="shared" si="0"/>
        <v>#VALUE!</v>
      </c>
      <c r="P28" s="38" t="s">
        <v>71</v>
      </c>
      <c r="Q28" s="38" t="s">
        <v>72</v>
      </c>
      <c r="R28" s="38" t="s">
        <v>73</v>
      </c>
      <c r="S28" s="38" t="s">
        <v>74</v>
      </c>
      <c r="T28" s="63"/>
      <c r="U28" s="38" t="e">
        <f t="shared" si="1"/>
        <v>#VALUE!</v>
      </c>
      <c r="V28" s="38" t="e">
        <f t="shared" si="2"/>
        <v>#VALUE!</v>
      </c>
      <c r="W28" s="62" t="s">
        <v>75</v>
      </c>
      <c r="X28" s="64"/>
      <c r="Y28" s="65" t="s">
        <v>76</v>
      </c>
    </row>
    <row r="29" customFormat="1" ht="66" customHeight="1" spans="1:25">
      <c r="A29" s="62" t="s">
        <v>62</v>
      </c>
      <c r="B29" s="37" t="s">
        <v>21</v>
      </c>
      <c r="C29" s="38"/>
      <c r="D29" s="38">
        <v>1</v>
      </c>
      <c r="E29" s="37" t="s">
        <v>63</v>
      </c>
      <c r="F29" s="62" t="s">
        <v>64</v>
      </c>
      <c r="G29" s="62" t="s">
        <v>65</v>
      </c>
      <c r="H29" s="62"/>
      <c r="I29" s="62" t="s">
        <v>66</v>
      </c>
      <c r="J29" s="37" t="s">
        <v>67</v>
      </c>
      <c r="K29" s="37" t="s">
        <v>68</v>
      </c>
      <c r="L29" s="37" t="s">
        <v>69</v>
      </c>
      <c r="M29" s="38" t="s">
        <v>70</v>
      </c>
      <c r="N29" s="38"/>
      <c r="O29" s="38" t="e">
        <f t="shared" si="0"/>
        <v>#VALUE!</v>
      </c>
      <c r="P29" s="38" t="s">
        <v>71</v>
      </c>
      <c r="Q29" s="38" t="s">
        <v>72</v>
      </c>
      <c r="R29" s="38" t="s">
        <v>73</v>
      </c>
      <c r="S29" s="38" t="s">
        <v>74</v>
      </c>
      <c r="T29" s="63"/>
      <c r="U29" s="38" t="e">
        <f t="shared" si="1"/>
        <v>#VALUE!</v>
      </c>
      <c r="V29" s="38" t="e">
        <f t="shared" si="2"/>
        <v>#VALUE!</v>
      </c>
      <c r="W29" s="62" t="s">
        <v>75</v>
      </c>
      <c r="X29" s="64"/>
      <c r="Y29" s="65" t="s">
        <v>76</v>
      </c>
    </row>
    <row r="30" customFormat="1" ht="66" customHeight="1" spans="1:25">
      <c r="A30" s="62" t="s">
        <v>62</v>
      </c>
      <c r="B30" s="37" t="s">
        <v>21</v>
      </c>
      <c r="C30" s="38"/>
      <c r="D30" s="38">
        <v>1</v>
      </c>
      <c r="E30" s="37" t="s">
        <v>63</v>
      </c>
      <c r="F30" s="62" t="s">
        <v>64</v>
      </c>
      <c r="G30" s="62" t="s">
        <v>65</v>
      </c>
      <c r="H30" s="62"/>
      <c r="I30" s="62" t="s">
        <v>66</v>
      </c>
      <c r="J30" s="37" t="s">
        <v>67</v>
      </c>
      <c r="K30" s="37" t="s">
        <v>68</v>
      </c>
      <c r="L30" s="37" t="s">
        <v>69</v>
      </c>
      <c r="M30" s="38" t="s">
        <v>70</v>
      </c>
      <c r="N30" s="38"/>
      <c r="O30" s="38" t="e">
        <f t="shared" si="0"/>
        <v>#VALUE!</v>
      </c>
      <c r="P30" s="38" t="s">
        <v>71</v>
      </c>
      <c r="Q30" s="38" t="s">
        <v>72</v>
      </c>
      <c r="R30" s="38" t="s">
        <v>73</v>
      </c>
      <c r="S30" s="38" t="s">
        <v>74</v>
      </c>
      <c r="T30" s="63"/>
      <c r="U30" s="38" t="e">
        <f t="shared" si="1"/>
        <v>#VALUE!</v>
      </c>
      <c r="V30" s="38" t="e">
        <f t="shared" si="2"/>
        <v>#VALUE!</v>
      </c>
      <c r="W30" s="62" t="s">
        <v>75</v>
      </c>
      <c r="X30" s="64"/>
      <c r="Y30" s="65" t="s">
        <v>76</v>
      </c>
    </row>
    <row r="31" ht="66" customHeight="1" spans="1:25">
      <c r="A31" s="62" t="s">
        <v>62</v>
      </c>
      <c r="B31" s="37" t="s">
        <v>21</v>
      </c>
      <c r="C31" s="38"/>
      <c r="D31" s="38">
        <v>1</v>
      </c>
      <c r="E31" s="37" t="s">
        <v>63</v>
      </c>
      <c r="F31" s="62" t="s">
        <v>64</v>
      </c>
      <c r="G31" s="62" t="s">
        <v>65</v>
      </c>
      <c r="H31" s="62"/>
      <c r="I31" s="62" t="s">
        <v>66</v>
      </c>
      <c r="J31" s="37" t="s">
        <v>67</v>
      </c>
      <c r="K31" s="37" t="s">
        <v>68</v>
      </c>
      <c r="L31" s="37" t="s">
        <v>69</v>
      </c>
      <c r="M31" s="38" t="s">
        <v>70</v>
      </c>
      <c r="N31" s="38"/>
      <c r="O31" s="38" t="e">
        <f t="shared" si="0"/>
        <v>#VALUE!</v>
      </c>
      <c r="P31" s="38" t="s">
        <v>71</v>
      </c>
      <c r="Q31" s="38" t="s">
        <v>72</v>
      </c>
      <c r="R31" s="38" t="s">
        <v>73</v>
      </c>
      <c r="S31" s="38" t="s">
        <v>74</v>
      </c>
      <c r="T31" s="63"/>
      <c r="U31" s="38" t="e">
        <f t="shared" si="1"/>
        <v>#VALUE!</v>
      </c>
      <c r="V31" s="38" t="e">
        <f t="shared" si="2"/>
        <v>#VALUE!</v>
      </c>
      <c r="W31" s="62" t="s">
        <v>75</v>
      </c>
      <c r="X31" s="64"/>
      <c r="Y31" s="65" t="s">
        <v>76</v>
      </c>
    </row>
    <row r="32" ht="66" customHeight="1" spans="1:25">
      <c r="A32" s="62" t="s">
        <v>62</v>
      </c>
      <c r="B32" s="37" t="s">
        <v>21</v>
      </c>
      <c r="C32" s="38"/>
      <c r="D32" s="38">
        <v>1</v>
      </c>
      <c r="E32" s="37" t="s">
        <v>63</v>
      </c>
      <c r="F32" s="62" t="s">
        <v>64</v>
      </c>
      <c r="G32" s="62" t="s">
        <v>65</v>
      </c>
      <c r="H32" s="62"/>
      <c r="I32" s="62" t="s">
        <v>66</v>
      </c>
      <c r="J32" s="37" t="s">
        <v>67</v>
      </c>
      <c r="K32" s="37" t="s">
        <v>68</v>
      </c>
      <c r="L32" s="37" t="s">
        <v>69</v>
      </c>
      <c r="M32" s="38" t="s">
        <v>70</v>
      </c>
      <c r="N32" s="38"/>
      <c r="O32" s="38" t="e">
        <f t="shared" ref="O32:O37" si="3">M32*N32</f>
        <v>#VALUE!</v>
      </c>
      <c r="P32" s="38" t="s">
        <v>71</v>
      </c>
      <c r="Q32" s="38" t="s">
        <v>72</v>
      </c>
      <c r="R32" s="38" t="s">
        <v>73</v>
      </c>
      <c r="S32" s="38" t="s">
        <v>74</v>
      </c>
      <c r="T32" s="63"/>
      <c r="U32" s="38" t="e">
        <f t="shared" ref="U32:U37" si="4">V32-D32</f>
        <v>#VALUE!</v>
      </c>
      <c r="V32" s="38" t="e">
        <f t="shared" ref="V32:V37" si="5">D32*S32</f>
        <v>#VALUE!</v>
      </c>
      <c r="W32" s="62" t="s">
        <v>75</v>
      </c>
      <c r="X32" s="64"/>
      <c r="Y32" s="65" t="s">
        <v>76</v>
      </c>
    </row>
    <row r="33" ht="66" customHeight="1" spans="1:25">
      <c r="A33" s="62" t="s">
        <v>62</v>
      </c>
      <c r="B33" s="37" t="s">
        <v>21</v>
      </c>
      <c r="C33" s="38"/>
      <c r="D33" s="38">
        <v>1</v>
      </c>
      <c r="E33" s="37" t="s">
        <v>63</v>
      </c>
      <c r="F33" s="62" t="s">
        <v>64</v>
      </c>
      <c r="G33" s="62" t="s">
        <v>65</v>
      </c>
      <c r="H33" s="62"/>
      <c r="I33" s="62" t="s">
        <v>66</v>
      </c>
      <c r="J33" s="37" t="s">
        <v>67</v>
      </c>
      <c r="K33" s="37" t="s">
        <v>68</v>
      </c>
      <c r="L33" s="37" t="s">
        <v>69</v>
      </c>
      <c r="M33" s="38" t="s">
        <v>70</v>
      </c>
      <c r="N33" s="38"/>
      <c r="O33" s="38" t="e">
        <f t="shared" si="3"/>
        <v>#VALUE!</v>
      </c>
      <c r="P33" s="38" t="s">
        <v>71</v>
      </c>
      <c r="Q33" s="38" t="s">
        <v>72</v>
      </c>
      <c r="R33" s="38" t="s">
        <v>73</v>
      </c>
      <c r="S33" s="38" t="s">
        <v>74</v>
      </c>
      <c r="T33" s="63"/>
      <c r="U33" s="38" t="e">
        <f t="shared" si="4"/>
        <v>#VALUE!</v>
      </c>
      <c r="V33" s="38" t="e">
        <f t="shared" si="5"/>
        <v>#VALUE!</v>
      </c>
      <c r="W33" s="62" t="s">
        <v>75</v>
      </c>
      <c r="X33" s="64"/>
      <c r="Y33" s="65" t="s">
        <v>76</v>
      </c>
    </row>
    <row r="34" ht="66" customHeight="1" spans="1:25">
      <c r="A34" s="62" t="s">
        <v>62</v>
      </c>
      <c r="B34" s="37" t="s">
        <v>21</v>
      </c>
      <c r="C34" s="38"/>
      <c r="D34" s="38">
        <v>1</v>
      </c>
      <c r="E34" s="37" t="s">
        <v>63</v>
      </c>
      <c r="F34" s="62" t="s">
        <v>64</v>
      </c>
      <c r="G34" s="62" t="s">
        <v>65</v>
      </c>
      <c r="H34" s="62"/>
      <c r="I34" s="62" t="s">
        <v>66</v>
      </c>
      <c r="J34" s="37" t="s">
        <v>67</v>
      </c>
      <c r="K34" s="37" t="s">
        <v>68</v>
      </c>
      <c r="L34" s="37" t="s">
        <v>69</v>
      </c>
      <c r="M34" s="38" t="s">
        <v>70</v>
      </c>
      <c r="N34" s="38"/>
      <c r="O34" s="38" t="e">
        <f t="shared" si="3"/>
        <v>#VALUE!</v>
      </c>
      <c r="P34" s="38" t="s">
        <v>71</v>
      </c>
      <c r="Q34" s="38" t="s">
        <v>72</v>
      </c>
      <c r="R34" s="38" t="s">
        <v>73</v>
      </c>
      <c r="S34" s="38" t="s">
        <v>74</v>
      </c>
      <c r="T34" s="63"/>
      <c r="U34" s="38" t="e">
        <f t="shared" si="4"/>
        <v>#VALUE!</v>
      </c>
      <c r="V34" s="38" t="e">
        <f t="shared" si="5"/>
        <v>#VALUE!</v>
      </c>
      <c r="W34" s="62" t="s">
        <v>75</v>
      </c>
      <c r="X34" s="64"/>
      <c r="Y34" s="65" t="s">
        <v>76</v>
      </c>
    </row>
    <row r="35" ht="66" customHeight="1" spans="1:25">
      <c r="A35" s="62" t="s">
        <v>62</v>
      </c>
      <c r="B35" s="37" t="s">
        <v>21</v>
      </c>
      <c r="C35" s="38"/>
      <c r="D35" s="38">
        <v>1</v>
      </c>
      <c r="E35" s="37" t="s">
        <v>63</v>
      </c>
      <c r="F35" s="62" t="s">
        <v>64</v>
      </c>
      <c r="G35" s="62" t="s">
        <v>65</v>
      </c>
      <c r="H35" s="62"/>
      <c r="I35" s="62" t="s">
        <v>66</v>
      </c>
      <c r="J35" s="37" t="s">
        <v>67</v>
      </c>
      <c r="K35" s="37" t="s">
        <v>68</v>
      </c>
      <c r="L35" s="37" t="s">
        <v>69</v>
      </c>
      <c r="M35" s="38" t="s">
        <v>70</v>
      </c>
      <c r="N35" s="38"/>
      <c r="O35" s="38" t="e">
        <f t="shared" si="3"/>
        <v>#VALUE!</v>
      </c>
      <c r="P35" s="38" t="s">
        <v>71</v>
      </c>
      <c r="Q35" s="38" t="s">
        <v>72</v>
      </c>
      <c r="R35" s="38" t="s">
        <v>73</v>
      </c>
      <c r="S35" s="38" t="s">
        <v>74</v>
      </c>
      <c r="T35" s="63"/>
      <c r="U35" s="38" t="e">
        <f t="shared" si="4"/>
        <v>#VALUE!</v>
      </c>
      <c r="V35" s="38" t="e">
        <f t="shared" si="5"/>
        <v>#VALUE!</v>
      </c>
      <c r="W35" s="62" t="s">
        <v>75</v>
      </c>
      <c r="X35" s="64"/>
      <c r="Y35" s="65" t="s">
        <v>76</v>
      </c>
    </row>
    <row r="36" ht="66" customHeight="1" spans="1:25">
      <c r="A36" s="62" t="s">
        <v>62</v>
      </c>
      <c r="B36" s="37" t="s">
        <v>21</v>
      </c>
      <c r="C36" s="38"/>
      <c r="D36" s="38">
        <v>1</v>
      </c>
      <c r="E36" s="37" t="s">
        <v>63</v>
      </c>
      <c r="F36" s="62" t="s">
        <v>64</v>
      </c>
      <c r="G36" s="62" t="s">
        <v>65</v>
      </c>
      <c r="H36" s="62"/>
      <c r="I36" s="62" t="s">
        <v>66</v>
      </c>
      <c r="J36" s="37" t="s">
        <v>67</v>
      </c>
      <c r="K36" s="37" t="s">
        <v>68</v>
      </c>
      <c r="L36" s="37" t="s">
        <v>69</v>
      </c>
      <c r="M36" s="38" t="s">
        <v>70</v>
      </c>
      <c r="N36" s="38"/>
      <c r="O36" s="38" t="e">
        <f t="shared" si="3"/>
        <v>#VALUE!</v>
      </c>
      <c r="P36" s="38" t="s">
        <v>71</v>
      </c>
      <c r="Q36" s="38" t="s">
        <v>72</v>
      </c>
      <c r="R36" s="38" t="s">
        <v>73</v>
      </c>
      <c r="S36" s="38" t="s">
        <v>74</v>
      </c>
      <c r="T36" s="63"/>
      <c r="U36" s="38" t="e">
        <f t="shared" si="4"/>
        <v>#VALUE!</v>
      </c>
      <c r="V36" s="38" t="e">
        <f t="shared" si="5"/>
        <v>#VALUE!</v>
      </c>
      <c r="W36" s="62" t="s">
        <v>75</v>
      </c>
      <c r="X36" s="64"/>
      <c r="Y36" s="65" t="s">
        <v>76</v>
      </c>
    </row>
    <row r="37" ht="66" customHeight="1" spans="1:25">
      <c r="A37" s="62" t="s">
        <v>62</v>
      </c>
      <c r="B37" s="37" t="s">
        <v>21</v>
      </c>
      <c r="C37" s="38"/>
      <c r="D37" s="38">
        <v>1</v>
      </c>
      <c r="E37" s="37" t="s">
        <v>63</v>
      </c>
      <c r="F37" s="62" t="s">
        <v>64</v>
      </c>
      <c r="G37" s="62" t="s">
        <v>65</v>
      </c>
      <c r="H37" s="62"/>
      <c r="I37" s="62" t="s">
        <v>66</v>
      </c>
      <c r="J37" s="37" t="s">
        <v>67</v>
      </c>
      <c r="K37" s="37" t="s">
        <v>68</v>
      </c>
      <c r="L37" s="37" t="s">
        <v>69</v>
      </c>
      <c r="M37" s="38" t="s">
        <v>70</v>
      </c>
      <c r="N37" s="38"/>
      <c r="O37" s="38" t="e">
        <f t="shared" si="3"/>
        <v>#VALUE!</v>
      </c>
      <c r="P37" s="38" t="s">
        <v>71</v>
      </c>
      <c r="Q37" s="38" t="s">
        <v>72</v>
      </c>
      <c r="R37" s="38" t="s">
        <v>73</v>
      </c>
      <c r="S37" s="38" t="s">
        <v>74</v>
      </c>
      <c r="T37" s="63"/>
      <c r="U37" s="38" t="e">
        <f t="shared" si="4"/>
        <v>#VALUE!</v>
      </c>
      <c r="V37" s="38" t="e">
        <f t="shared" si="5"/>
        <v>#VALUE!</v>
      </c>
      <c r="W37" s="62" t="s">
        <v>75</v>
      </c>
      <c r="X37" s="64"/>
      <c r="Y37" s="65" t="s">
        <v>76</v>
      </c>
    </row>
  </sheetData>
  <mergeCells count="30">
    <mergeCell ref="A1:H1"/>
    <mergeCell ref="B2:D2"/>
    <mergeCell ref="F2:H2"/>
    <mergeCell ref="I2:J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6:P16"/>
  </mergeCells>
  <dataValidations count="3">
    <dataValidation allowBlank="1" showInputMessage="1" showErrorMessage="1" sqref="B4:D4"/>
    <dataValidation type="list" allowBlank="1" sqref="B5:D5">
      <formula1>"报关,无单证"</formula1>
    </dataValidation>
    <dataValidation type="list" allowBlank="1" showInputMessage="1" showErrorMessage="1" sqref="B6:D6">
      <formula1>"自税,包税"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54"/>
  <sheetViews>
    <sheetView zoomScale="115" zoomScaleNormal="115" workbookViewId="0">
      <selection activeCell="C22" sqref="C22"/>
    </sheetView>
  </sheetViews>
  <sheetFormatPr defaultColWidth="9" defaultRowHeight="15.75" outlineLevelCol="4"/>
  <cols>
    <col min="1" max="1" width="9.5" customWidth="1"/>
    <col min="2" max="2" width="17.375" style="1" customWidth="1"/>
    <col min="3" max="3" width="23.75" customWidth="1"/>
    <col min="5" max="5" width="55.375" customWidth="1"/>
  </cols>
  <sheetData>
    <row r="1" ht="14.1" customHeight="1" spans="1:5">
      <c r="A1" s="2" t="s">
        <v>77</v>
      </c>
      <c r="B1" s="3" t="s">
        <v>78</v>
      </c>
      <c r="C1" s="4" t="s">
        <v>79</v>
      </c>
      <c r="D1" s="4" t="s">
        <v>80</v>
      </c>
      <c r="E1" s="5" t="s">
        <v>81</v>
      </c>
    </row>
    <row r="2" ht="14.1" customHeight="1" spans="1:5">
      <c r="A2" s="6"/>
      <c r="B2" s="7" t="s">
        <v>82</v>
      </c>
      <c r="C2" s="4" t="s">
        <v>83</v>
      </c>
      <c r="D2" s="4" t="s">
        <v>80</v>
      </c>
      <c r="E2" s="8" t="s">
        <v>84</v>
      </c>
    </row>
    <row r="3" ht="14.1" customHeight="1" spans="1:5">
      <c r="A3" s="6"/>
      <c r="B3" s="7" t="s">
        <v>85</v>
      </c>
      <c r="C3" s="4" t="s">
        <v>86</v>
      </c>
      <c r="D3" s="4" t="s">
        <v>80</v>
      </c>
      <c r="E3" s="8" t="s">
        <v>84</v>
      </c>
    </row>
    <row r="4" ht="14.1" customHeight="1" spans="1:5">
      <c r="A4" s="6"/>
      <c r="B4" s="7" t="s">
        <v>87</v>
      </c>
      <c r="C4" s="9" t="s">
        <v>88</v>
      </c>
      <c r="D4" s="4" t="s">
        <v>80</v>
      </c>
      <c r="E4" s="8" t="s">
        <v>84</v>
      </c>
    </row>
    <row r="5" ht="14.1" customHeight="1" spans="1:5">
      <c r="A5" s="6"/>
      <c r="B5" s="7" t="s">
        <v>89</v>
      </c>
      <c r="C5" s="9" t="s">
        <v>90</v>
      </c>
      <c r="D5" s="4" t="s">
        <v>80</v>
      </c>
      <c r="E5" s="8" t="s">
        <v>84</v>
      </c>
    </row>
    <row r="6" ht="14.1" customHeight="1" spans="1:5">
      <c r="A6" s="6"/>
      <c r="B6" s="7" t="s">
        <v>91</v>
      </c>
      <c r="C6" s="4" t="s">
        <v>92</v>
      </c>
      <c r="D6" s="4" t="s">
        <v>80</v>
      </c>
      <c r="E6" s="8" t="s">
        <v>93</v>
      </c>
    </row>
    <row r="7" ht="14.1" customHeight="1" spans="1:5">
      <c r="A7" s="6"/>
      <c r="B7" s="7" t="s">
        <v>94</v>
      </c>
      <c r="C7" s="4" t="s">
        <v>95</v>
      </c>
      <c r="D7" s="4" t="s">
        <v>80</v>
      </c>
      <c r="E7" s="8" t="s">
        <v>93</v>
      </c>
    </row>
    <row r="8" ht="14.1" customHeight="1" spans="1:5">
      <c r="A8" s="6"/>
      <c r="B8" s="3" t="s">
        <v>96</v>
      </c>
      <c r="C8" s="4" t="s">
        <v>97</v>
      </c>
      <c r="D8" s="4" t="s">
        <v>80</v>
      </c>
      <c r="E8" s="8"/>
    </row>
    <row r="9" ht="14.1" customHeight="1" spans="1:5">
      <c r="A9" s="6"/>
      <c r="B9" s="7" t="s">
        <v>98</v>
      </c>
      <c r="C9" s="4" t="s">
        <v>99</v>
      </c>
      <c r="D9" s="4" t="s">
        <v>100</v>
      </c>
      <c r="E9" s="8" t="s">
        <v>93</v>
      </c>
    </row>
    <row r="10" ht="14.1" customHeight="1" spans="1:5">
      <c r="A10" s="6"/>
      <c r="B10" s="7" t="s">
        <v>101</v>
      </c>
      <c r="C10" s="4" t="s">
        <v>102</v>
      </c>
      <c r="D10" s="4" t="s">
        <v>100</v>
      </c>
      <c r="E10" s="8" t="s">
        <v>93</v>
      </c>
    </row>
    <row r="11" ht="14.1" customHeight="1" spans="1:5">
      <c r="A11" s="6"/>
      <c r="B11" s="7" t="s">
        <v>103</v>
      </c>
      <c r="C11" s="4" t="s">
        <v>104</v>
      </c>
      <c r="D11" s="4" t="s">
        <v>100</v>
      </c>
      <c r="E11" s="8" t="s">
        <v>105</v>
      </c>
    </row>
    <row r="12" ht="14.1" customHeight="1" spans="1:5">
      <c r="A12" s="6"/>
      <c r="B12" s="7" t="s">
        <v>106</v>
      </c>
      <c r="C12" s="4" t="s">
        <v>107</v>
      </c>
      <c r="D12" s="4" t="s">
        <v>100</v>
      </c>
      <c r="E12" s="8" t="s">
        <v>105</v>
      </c>
    </row>
    <row r="13" ht="14.1" customHeight="1" spans="1:5">
      <c r="A13" s="6"/>
      <c r="B13" s="3" t="s">
        <v>108</v>
      </c>
      <c r="C13" s="4" t="s">
        <v>109</v>
      </c>
      <c r="D13" s="4" t="s">
        <v>110</v>
      </c>
      <c r="E13" s="8"/>
    </row>
    <row r="14" ht="14.1" customHeight="1" spans="1:5">
      <c r="A14" s="6"/>
      <c r="B14" s="7" t="s">
        <v>111</v>
      </c>
      <c r="C14" s="4" t="s">
        <v>112</v>
      </c>
      <c r="D14" s="4" t="s">
        <v>113</v>
      </c>
      <c r="E14" s="8" t="s">
        <v>93</v>
      </c>
    </row>
    <row r="15" ht="14.1" customHeight="1" spans="1:5">
      <c r="A15" s="6"/>
      <c r="B15" s="7" t="s">
        <v>114</v>
      </c>
      <c r="C15" s="4" t="s">
        <v>115</v>
      </c>
      <c r="D15" s="4" t="s">
        <v>113</v>
      </c>
      <c r="E15" s="8" t="s">
        <v>93</v>
      </c>
    </row>
    <row r="16" ht="14.1" customHeight="1" spans="1:5">
      <c r="A16" s="6"/>
      <c r="B16" s="7" t="s">
        <v>9</v>
      </c>
      <c r="C16" s="9" t="s">
        <v>116</v>
      </c>
      <c r="D16" s="4" t="s">
        <v>113</v>
      </c>
      <c r="E16" s="8" t="s">
        <v>117</v>
      </c>
    </row>
    <row r="17" ht="14.1" customHeight="1" spans="1:5">
      <c r="A17" s="6"/>
      <c r="B17" s="7" t="s">
        <v>118</v>
      </c>
      <c r="C17" s="9" t="s">
        <v>119</v>
      </c>
      <c r="D17" s="4" t="s">
        <v>113</v>
      </c>
      <c r="E17" s="8" t="s">
        <v>117</v>
      </c>
    </row>
    <row r="18" ht="14.1" customHeight="1" spans="1:5">
      <c r="A18" s="6"/>
      <c r="B18" s="3" t="s">
        <v>120</v>
      </c>
      <c r="C18" s="9" t="s">
        <v>121</v>
      </c>
      <c r="D18" s="4" t="s">
        <v>122</v>
      </c>
      <c r="E18" s="8"/>
    </row>
    <row r="19" ht="14.1" customHeight="1" spans="1:5">
      <c r="A19" s="6"/>
      <c r="B19" s="7" t="s">
        <v>123</v>
      </c>
      <c r="C19" s="4" t="s">
        <v>124</v>
      </c>
      <c r="D19" s="4" t="s">
        <v>125</v>
      </c>
      <c r="E19" s="8" t="s">
        <v>93</v>
      </c>
    </row>
    <row r="20" ht="14.1" customHeight="1" spans="1:5">
      <c r="A20" s="6"/>
      <c r="B20" s="7" t="s">
        <v>126</v>
      </c>
      <c r="C20" s="4" t="s">
        <v>127</v>
      </c>
      <c r="D20" s="4" t="s">
        <v>125</v>
      </c>
      <c r="E20" s="8" t="s">
        <v>93</v>
      </c>
    </row>
    <row r="21" ht="14.1" customHeight="1" spans="1:5">
      <c r="A21" s="6"/>
      <c r="B21" s="7" t="s">
        <v>128</v>
      </c>
      <c r="C21" s="4" t="s">
        <v>129</v>
      </c>
      <c r="D21" s="4" t="s">
        <v>125</v>
      </c>
      <c r="E21" s="8" t="s">
        <v>130</v>
      </c>
    </row>
    <row r="22" ht="14.1" customHeight="1" spans="1:5">
      <c r="A22" s="6"/>
      <c r="B22" s="7" t="s">
        <v>131</v>
      </c>
      <c r="C22" s="4" t="s">
        <v>132</v>
      </c>
      <c r="D22" s="4" t="s">
        <v>125</v>
      </c>
      <c r="E22" s="8" t="s">
        <v>130</v>
      </c>
    </row>
    <row r="23" ht="14.1" customHeight="1" spans="1:5">
      <c r="A23" s="6"/>
      <c r="B23" s="3" t="s">
        <v>133</v>
      </c>
      <c r="C23" s="4" t="s">
        <v>134</v>
      </c>
      <c r="D23" s="4" t="s">
        <v>135</v>
      </c>
      <c r="E23" s="8"/>
    </row>
    <row r="24" ht="14.1" customHeight="1" spans="1:5">
      <c r="A24" s="6"/>
      <c r="B24" s="7" t="s">
        <v>136</v>
      </c>
      <c r="C24" s="4" t="s">
        <v>137</v>
      </c>
      <c r="D24" s="4" t="s">
        <v>138</v>
      </c>
      <c r="E24" s="8" t="s">
        <v>139</v>
      </c>
    </row>
    <row r="25" ht="14.1" customHeight="1" spans="1:5">
      <c r="A25" s="6"/>
      <c r="B25" s="7" t="s">
        <v>140</v>
      </c>
      <c r="C25" s="4" t="s">
        <v>141</v>
      </c>
      <c r="D25" s="4" t="s">
        <v>138</v>
      </c>
      <c r="E25" s="8" t="s">
        <v>139</v>
      </c>
    </row>
    <row r="26" ht="14.1" customHeight="1" spans="1:5">
      <c r="A26" s="6"/>
      <c r="B26" s="7" t="s">
        <v>142</v>
      </c>
      <c r="C26" s="4" t="s">
        <v>143</v>
      </c>
      <c r="D26" s="4" t="s">
        <v>80</v>
      </c>
      <c r="E26" s="8" t="s">
        <v>144</v>
      </c>
    </row>
    <row r="27" ht="14.1" customHeight="1" spans="1:5">
      <c r="A27" s="6"/>
      <c r="B27" s="7" t="s">
        <v>145</v>
      </c>
      <c r="C27" s="4" t="s">
        <v>146</v>
      </c>
      <c r="D27" s="4" t="s">
        <v>80</v>
      </c>
      <c r="E27" s="8" t="s">
        <v>144</v>
      </c>
    </row>
    <row r="28" ht="14.1" customHeight="1" spans="1:5">
      <c r="A28" s="6"/>
      <c r="B28" s="7" t="s">
        <v>147</v>
      </c>
      <c r="C28" s="4" t="s">
        <v>148</v>
      </c>
      <c r="D28" s="4" t="s">
        <v>80</v>
      </c>
      <c r="E28" s="8" t="s">
        <v>144</v>
      </c>
    </row>
    <row r="29" ht="14.1" customHeight="1" spans="1:5">
      <c r="A29" s="6"/>
      <c r="B29" s="7" t="s">
        <v>149</v>
      </c>
      <c r="C29" s="4" t="s">
        <v>150</v>
      </c>
      <c r="D29" s="4" t="s">
        <v>80</v>
      </c>
      <c r="E29" s="8" t="s">
        <v>144</v>
      </c>
    </row>
    <row r="30" ht="14.1" customHeight="1" spans="1:5">
      <c r="A30" s="6"/>
      <c r="B30" s="7" t="s">
        <v>151</v>
      </c>
      <c r="C30" s="4" t="s">
        <v>152</v>
      </c>
      <c r="D30" s="4" t="s">
        <v>80</v>
      </c>
      <c r="E30" s="10" t="s">
        <v>153</v>
      </c>
    </row>
    <row r="31" ht="14.1" customHeight="1" spans="1:5">
      <c r="A31" s="11"/>
      <c r="B31" s="7" t="s">
        <v>154</v>
      </c>
      <c r="C31" s="4" t="s">
        <v>155</v>
      </c>
      <c r="D31" s="4" t="s">
        <v>80</v>
      </c>
      <c r="E31" s="10" t="s">
        <v>153</v>
      </c>
    </row>
    <row r="32" ht="14.1" customHeight="1" spans="1:5">
      <c r="A32" s="2" t="s">
        <v>156</v>
      </c>
      <c r="B32" s="7" t="s">
        <v>157</v>
      </c>
      <c r="C32" s="4" t="s">
        <v>158</v>
      </c>
      <c r="D32" s="4" t="s">
        <v>80</v>
      </c>
      <c r="E32" s="10" t="s">
        <v>159</v>
      </c>
    </row>
    <row r="33" ht="14.1" customHeight="1" spans="1:5">
      <c r="A33" s="6"/>
      <c r="B33" s="3" t="s">
        <v>160</v>
      </c>
      <c r="C33" s="12" t="s">
        <v>161</v>
      </c>
      <c r="D33" s="13" t="s">
        <v>162</v>
      </c>
      <c r="E33" s="14" t="s">
        <v>163</v>
      </c>
    </row>
    <row r="34" ht="14.1" customHeight="1" spans="1:5">
      <c r="A34" s="6"/>
      <c r="B34" s="3" t="s">
        <v>164</v>
      </c>
      <c r="C34" s="12" t="s">
        <v>165</v>
      </c>
      <c r="D34" s="15"/>
      <c r="E34" s="16"/>
    </row>
    <row r="35" ht="14.1" customHeight="1" spans="1:5">
      <c r="A35" s="6"/>
      <c r="B35" s="7" t="s">
        <v>166</v>
      </c>
      <c r="C35" s="4" t="s">
        <v>167</v>
      </c>
      <c r="D35" s="15"/>
      <c r="E35" s="16"/>
    </row>
    <row r="36" ht="14.1" customHeight="1" spans="1:5">
      <c r="A36" s="6"/>
      <c r="B36" s="17" t="s">
        <v>168</v>
      </c>
      <c r="C36" s="4" t="s">
        <v>169</v>
      </c>
      <c r="D36" s="15"/>
      <c r="E36" s="16"/>
    </row>
    <row r="37" ht="14.1" customHeight="1" spans="1:5">
      <c r="A37" s="11"/>
      <c r="B37" s="17" t="s">
        <v>170</v>
      </c>
      <c r="C37" s="4" t="s">
        <v>171</v>
      </c>
      <c r="D37" s="18"/>
      <c r="E37" s="19"/>
    </row>
    <row r="38" ht="14.1" customHeight="1" spans="1:5">
      <c r="A38" s="7" t="s">
        <v>172</v>
      </c>
      <c r="B38" s="7" t="s">
        <v>173</v>
      </c>
      <c r="C38" s="4" t="s">
        <v>174</v>
      </c>
      <c r="D38" s="4"/>
      <c r="E38" s="20" t="s">
        <v>175</v>
      </c>
    </row>
    <row r="39" ht="14.1" customHeight="1" spans="1:5">
      <c r="A39" s="7" t="s">
        <v>172</v>
      </c>
      <c r="B39" s="7" t="s">
        <v>176</v>
      </c>
      <c r="C39" s="4" t="s">
        <v>177</v>
      </c>
      <c r="D39" s="4"/>
      <c r="E39" s="21"/>
    </row>
    <row r="40" ht="14.1" customHeight="1" spans="1:5">
      <c r="A40" s="7"/>
      <c r="B40" s="7"/>
      <c r="C40" s="4" t="s">
        <v>178</v>
      </c>
      <c r="D40" s="4"/>
      <c r="E40" s="21"/>
    </row>
    <row r="41" ht="14.1" customHeight="1" spans="1:5">
      <c r="A41" s="7"/>
      <c r="B41" s="7"/>
      <c r="C41" s="4" t="s">
        <v>179</v>
      </c>
      <c r="D41" s="4"/>
      <c r="E41" s="21" t="s">
        <v>180</v>
      </c>
    </row>
    <row r="42" ht="14.1" customHeight="1" spans="1:5">
      <c r="A42" s="7"/>
      <c r="B42" s="7"/>
      <c r="C42" s="4" t="s">
        <v>181</v>
      </c>
      <c r="D42" s="4"/>
      <c r="E42" s="21" t="s">
        <v>182</v>
      </c>
    </row>
    <row r="43" ht="14.1" customHeight="1" spans="1:5">
      <c r="A43" s="7"/>
      <c r="B43" s="7"/>
      <c r="C43" s="4" t="s">
        <v>183</v>
      </c>
      <c r="D43" s="4"/>
      <c r="E43" s="21" t="s">
        <v>184</v>
      </c>
    </row>
    <row r="44" ht="14.1" customHeight="1" spans="1:5">
      <c r="A44" s="7"/>
      <c r="B44" s="7"/>
      <c r="C44" s="4" t="s">
        <v>185</v>
      </c>
      <c r="D44" s="4"/>
      <c r="E44" s="21" t="s">
        <v>186</v>
      </c>
    </row>
    <row r="45" ht="14.1" customHeight="1" spans="1:5">
      <c r="A45" s="7"/>
      <c r="B45" s="7"/>
      <c r="C45" s="4" t="s">
        <v>187</v>
      </c>
      <c r="D45" s="4"/>
      <c r="E45" s="21" t="s">
        <v>188</v>
      </c>
    </row>
    <row r="46" ht="14.1" customHeight="1" spans="1:5">
      <c r="A46" s="7"/>
      <c r="B46" s="7"/>
      <c r="C46" s="4" t="s">
        <v>189</v>
      </c>
      <c r="D46" s="4"/>
      <c r="E46" s="21"/>
    </row>
    <row r="47" ht="14.1" customHeight="1" spans="1:5">
      <c r="A47" s="7"/>
      <c r="B47" s="7"/>
      <c r="C47" s="4" t="s">
        <v>190</v>
      </c>
      <c r="D47" s="4"/>
      <c r="E47" s="21"/>
    </row>
    <row r="48" ht="14.1" customHeight="1" spans="1:5">
      <c r="A48" s="7"/>
      <c r="B48" s="7"/>
      <c r="C48" s="4" t="s">
        <v>191</v>
      </c>
      <c r="D48" s="4"/>
      <c r="E48" s="21"/>
    </row>
    <row r="49" ht="14.1" customHeight="1" spans="1:5">
      <c r="A49" s="7"/>
      <c r="B49" s="7"/>
      <c r="C49" s="4" t="s">
        <v>192</v>
      </c>
      <c r="D49" s="4"/>
      <c r="E49" s="21" t="s">
        <v>193</v>
      </c>
    </row>
    <row r="50" ht="14.1" customHeight="1" spans="1:5">
      <c r="A50" s="7"/>
      <c r="B50" s="7"/>
      <c r="C50" s="4" t="s">
        <v>194</v>
      </c>
      <c r="D50" s="4"/>
      <c r="E50" s="21"/>
    </row>
    <row r="51" ht="14.1" customHeight="1" spans="1:5">
      <c r="A51" s="7"/>
      <c r="B51" s="7"/>
      <c r="C51" s="4" t="s">
        <v>195</v>
      </c>
      <c r="D51" s="4"/>
      <c r="E51" s="4" t="s">
        <v>196</v>
      </c>
    </row>
    <row r="52" ht="14.1" customHeight="1" spans="1:5">
      <c r="A52" s="7"/>
      <c r="B52" s="7"/>
      <c r="C52" s="4" t="s">
        <v>197</v>
      </c>
      <c r="D52" s="4"/>
      <c r="E52" s="20" t="s">
        <v>198</v>
      </c>
    </row>
    <row r="53" ht="14.1" customHeight="1"/>
    <row r="54" ht="14.1" customHeight="1"/>
  </sheetData>
  <mergeCells count="7">
    <mergeCell ref="A1:A31"/>
    <mergeCell ref="A32:A37"/>
    <mergeCell ref="D33:D37"/>
    <mergeCell ref="E33:E37"/>
    <mergeCell ref="E38:E40"/>
    <mergeCell ref="E45:E48"/>
    <mergeCell ref="E49:E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渠道表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记得少吃糖</cp:lastModifiedBy>
  <dcterms:created xsi:type="dcterms:W3CDTF">2021-11-30T02:43:00Z</dcterms:created>
  <dcterms:modified xsi:type="dcterms:W3CDTF">2026-03-28T09:08:10Z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04F18F9E50AF42C5A0128D4B2214C13A_13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